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nan\OneDrive\Desktop\RFM\"/>
    </mc:Choice>
  </mc:AlternateContent>
  <xr:revisionPtr revIDLastSave="0" documentId="13_ncr:1_{3398BA4E-CBF7-4E66-B08C-B23B49EB7314}" xr6:coauthVersionLast="47" xr6:coauthVersionMax="47" xr10:uidLastSave="{00000000-0000-0000-0000-000000000000}"/>
  <bookViews>
    <workbookView xWindow="-110" yWindow="-110" windowWidth="19420" windowHeight="11500" activeTab="1" xr2:uid="{199C9FA9-98B1-4EB9-8060-653941BDDF61}"/>
  </bookViews>
  <sheets>
    <sheet name="rfm_data" sheetId="1" r:id="rId1"/>
    <sheet name="RFM Analysis" sheetId="2" r:id="rId2"/>
  </sheets>
  <definedNames>
    <definedName name="_xlnm._FilterDatabase" localSheetId="0" hidden="1">rfm_data!$B$1:$B$1001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8" i="2" l="1"/>
  <c r="H6" i="2"/>
  <c r="A3" i="2" a="1"/>
  <c r="D317" i="2" s="1"/>
  <c r="B151" i="2" l="1"/>
  <c r="C533" i="2"/>
  <c r="K533" i="2" s="1"/>
  <c r="C530" i="2"/>
  <c r="K530" i="2" s="1"/>
  <c r="D831" i="2"/>
  <c r="D114" i="2"/>
  <c r="B260" i="2"/>
  <c r="C943" i="2"/>
  <c r="K943" i="2" s="1"/>
  <c r="C532" i="2"/>
  <c r="K532" i="2" s="1"/>
  <c r="C92" i="2"/>
  <c r="K92" i="2" s="1"/>
  <c r="D906" i="2"/>
  <c r="D425" i="2"/>
  <c r="C94" i="2"/>
  <c r="K94" i="2" s="1"/>
  <c r="C593" i="2"/>
  <c r="K593" i="2" s="1"/>
  <c r="D456" i="2"/>
  <c r="C147" i="2"/>
  <c r="K147" i="2" s="1"/>
  <c r="C594" i="2"/>
  <c r="K594" i="2" s="1"/>
  <c r="D670" i="2"/>
  <c r="C254" i="2"/>
  <c r="K254" i="2" s="1"/>
  <c r="C811" i="2"/>
  <c r="K811" i="2" s="1"/>
  <c r="D466" i="2"/>
  <c r="C279" i="2"/>
  <c r="K279" i="2" s="1"/>
  <c r="C865" i="2"/>
  <c r="K865" i="2" s="1"/>
  <c r="D731" i="2"/>
  <c r="C534" i="2"/>
  <c r="K534" i="2" s="1"/>
  <c r="D98" i="2"/>
  <c r="C535" i="2"/>
  <c r="K535" i="2" s="1"/>
  <c r="D807" i="2"/>
  <c r="D832" i="2"/>
  <c r="C796" i="2"/>
  <c r="K796" i="2" s="1"/>
  <c r="D905" i="2"/>
  <c r="C815" i="2"/>
  <c r="K815" i="2" s="1"/>
  <c r="D382" i="2"/>
  <c r="C251" i="2"/>
  <c r="K251" i="2" s="1"/>
  <c r="C947" i="2"/>
  <c r="K947" i="2" s="1"/>
  <c r="D383" i="2"/>
  <c r="C281" i="2"/>
  <c r="K281" i="2" s="1"/>
  <c r="C149" i="2"/>
  <c r="K149" i="2" s="1"/>
  <c r="C250" i="2"/>
  <c r="K250" i="2" s="1"/>
  <c r="D109" i="2"/>
  <c r="C324" i="2"/>
  <c r="K324" i="2" s="1"/>
  <c r="D387" i="2"/>
  <c r="C590" i="2"/>
  <c r="K590" i="2" s="1"/>
  <c r="C595" i="2"/>
  <c r="K595" i="2" s="1"/>
  <c r="D471" i="2"/>
  <c r="C819" i="2"/>
  <c r="K819" i="2" s="1"/>
  <c r="C820" i="2"/>
  <c r="K820" i="2" s="1"/>
  <c r="C870" i="2"/>
  <c r="K870" i="2" s="1"/>
  <c r="D403" i="2"/>
  <c r="C591" i="2"/>
  <c r="K591" i="2" s="1"/>
  <c r="D470" i="2"/>
  <c r="C740" i="2"/>
  <c r="K740" i="2" s="1"/>
  <c r="D671" i="2"/>
  <c r="D689" i="2"/>
  <c r="D695" i="2"/>
  <c r="D110" i="2"/>
  <c r="B538" i="2"/>
  <c r="B496" i="2"/>
  <c r="B485" i="2"/>
  <c r="B184" i="2"/>
  <c r="B585" i="2"/>
  <c r="B211" i="2"/>
  <c r="B754" i="2"/>
  <c r="B288" i="2"/>
  <c r="B764" i="2"/>
  <c r="B542" i="2"/>
  <c r="B152" i="2"/>
  <c r="B758" i="2"/>
  <c r="B226" i="2"/>
  <c r="B806" i="2"/>
  <c r="B539" i="2"/>
  <c r="B561" i="2"/>
  <c r="B808" i="2"/>
  <c r="B127" i="2"/>
  <c r="B833" i="2"/>
  <c r="B900" i="2"/>
  <c r="B898" i="2"/>
  <c r="B756" i="2"/>
  <c r="B584" i="2"/>
  <c r="B757" i="2"/>
  <c r="B565" i="2"/>
  <c r="B462" i="2"/>
  <c r="B329" i="2"/>
  <c r="B276" i="2"/>
  <c r="D224" i="2"/>
  <c r="D173" i="2"/>
  <c r="D397" i="2"/>
  <c r="D595" i="2"/>
  <c r="D830" i="2"/>
  <c r="C59" i="2"/>
  <c r="K59" i="2" s="1"/>
  <c r="C255" i="2"/>
  <c r="K255" i="2" s="1"/>
  <c r="C442" i="2"/>
  <c r="K442" i="2" s="1"/>
  <c r="C614" i="2"/>
  <c r="K614" i="2" s="1"/>
  <c r="C747" i="2"/>
  <c r="K747" i="2" s="1"/>
  <c r="C930" i="2"/>
  <c r="K930" i="2" s="1"/>
  <c r="D102" i="2"/>
  <c r="D315" i="2"/>
  <c r="D559" i="2"/>
  <c r="D733" i="2"/>
  <c r="C14" i="2"/>
  <c r="K14" i="2" s="1"/>
  <c r="C253" i="2"/>
  <c r="K253" i="2" s="1"/>
  <c r="C428" i="2"/>
  <c r="K428" i="2" s="1"/>
  <c r="C615" i="2"/>
  <c r="K615" i="2" s="1"/>
  <c r="C801" i="2"/>
  <c r="K801" i="2" s="1"/>
  <c r="D289" i="2"/>
  <c r="D497" i="2"/>
  <c r="D732" i="2"/>
  <c r="C20" i="2"/>
  <c r="K20" i="2" s="1"/>
  <c r="C256" i="2"/>
  <c r="K256" i="2" s="1"/>
  <c r="C499" i="2"/>
  <c r="K499" i="2" s="1"/>
  <c r="C675" i="2"/>
  <c r="K675" i="2" s="1"/>
  <c r="C847" i="2"/>
  <c r="K847" i="2" s="1"/>
  <c r="D290" i="2"/>
  <c r="D555" i="2"/>
  <c r="D767" i="2"/>
  <c r="C51" i="2"/>
  <c r="K51" i="2" s="1"/>
  <c r="C259" i="2"/>
  <c r="K259" i="2" s="1"/>
  <c r="C503" i="2"/>
  <c r="K503" i="2" s="1"/>
  <c r="C683" i="2"/>
  <c r="K683" i="2" s="1"/>
  <c r="C849" i="2"/>
  <c r="K849" i="2" s="1"/>
  <c r="D97" i="2"/>
  <c r="D291" i="2"/>
  <c r="D560" i="2"/>
  <c r="D787" i="2"/>
  <c r="C85" i="2"/>
  <c r="K85" i="2" s="1"/>
  <c r="C278" i="2"/>
  <c r="K278" i="2" s="1"/>
  <c r="C504" i="2"/>
  <c r="K504" i="2" s="1"/>
  <c r="C716" i="2"/>
  <c r="K716" i="2" s="1"/>
  <c r="C850" i="2"/>
  <c r="K850" i="2" s="1"/>
  <c r="D255" i="2"/>
  <c r="D561" i="2"/>
  <c r="D838" i="2"/>
  <c r="C151" i="2"/>
  <c r="K151" i="2" s="1"/>
  <c r="C423" i="2"/>
  <c r="K423" i="2" s="1"/>
  <c r="C662" i="2"/>
  <c r="K662" i="2" s="1"/>
  <c r="C894" i="2"/>
  <c r="K894" i="2" s="1"/>
  <c r="D258" i="2"/>
  <c r="D562" i="2"/>
  <c r="D861" i="2"/>
  <c r="C158" i="2"/>
  <c r="K158" i="2" s="1"/>
  <c r="C427" i="2"/>
  <c r="K427" i="2" s="1"/>
  <c r="C717" i="2"/>
  <c r="K717" i="2" s="1"/>
  <c r="C895" i="2"/>
  <c r="K895" i="2" s="1"/>
  <c r="D288" i="2"/>
  <c r="D563" i="2"/>
  <c r="D863" i="2"/>
  <c r="C187" i="2"/>
  <c r="K187" i="2" s="1"/>
  <c r="C476" i="2"/>
  <c r="K476" i="2" s="1"/>
  <c r="C718" i="2"/>
  <c r="K718" i="2" s="1"/>
  <c r="C916" i="2"/>
  <c r="K916" i="2" s="1"/>
  <c r="D316" i="2"/>
  <c r="D655" i="2"/>
  <c r="D864" i="2"/>
  <c r="C249" i="2"/>
  <c r="K249" i="2" s="1"/>
  <c r="C484" i="2"/>
  <c r="K484" i="2" s="1"/>
  <c r="C721" i="2"/>
  <c r="K721" i="2" s="1"/>
  <c r="C920" i="2"/>
  <c r="K920" i="2" s="1"/>
  <c r="B735" i="2"/>
  <c r="B405" i="2"/>
  <c r="B84" i="2"/>
  <c r="C739" i="2"/>
  <c r="K739" i="2" s="1"/>
  <c r="C421" i="2"/>
  <c r="K421" i="2" s="1"/>
  <c r="C91" i="2"/>
  <c r="K91" i="2" s="1"/>
  <c r="D668" i="2"/>
  <c r="D223" i="2"/>
  <c r="B153" i="2"/>
  <c r="B330" i="2"/>
  <c r="B466" i="2"/>
  <c r="B642" i="2"/>
  <c r="B807" i="2"/>
  <c r="B924" i="2"/>
  <c r="B5" i="2"/>
  <c r="B203" i="2"/>
  <c r="B359" i="2"/>
  <c r="B543" i="2"/>
  <c r="B732" i="2"/>
  <c r="B881" i="2"/>
  <c r="B81" i="2"/>
  <c r="B279" i="2"/>
  <c r="B463" i="2"/>
  <c r="B641" i="2"/>
  <c r="B809" i="2"/>
  <c r="B82" i="2"/>
  <c r="B286" i="2"/>
  <c r="B464" i="2"/>
  <c r="B665" i="2"/>
  <c r="B811" i="2"/>
  <c r="B83" i="2"/>
  <c r="B287" i="2"/>
  <c r="B465" i="2"/>
  <c r="B666" i="2"/>
  <c r="B826" i="2"/>
  <c r="B187" i="2"/>
  <c r="B406" i="2"/>
  <c r="B632" i="2"/>
  <c r="B856" i="2"/>
  <c r="B196" i="2"/>
  <c r="B411" i="2"/>
  <c r="B639" i="2"/>
  <c r="B880" i="2"/>
  <c r="B204" i="2"/>
  <c r="B441" i="2"/>
  <c r="B682" i="2"/>
  <c r="B883" i="2"/>
  <c r="B210" i="2"/>
  <c r="B460" i="2"/>
  <c r="B683" i="2"/>
  <c r="B895" i="2"/>
  <c r="B734" i="2"/>
  <c r="B392" i="2"/>
  <c r="B79" i="2"/>
  <c r="C738" i="2"/>
  <c r="K738" i="2" s="1"/>
  <c r="C417" i="2"/>
  <c r="K417" i="2" s="1"/>
  <c r="C87" i="2"/>
  <c r="K87" i="2" s="1"/>
  <c r="D664" i="2"/>
  <c r="D183" i="2"/>
  <c r="B931" i="2"/>
  <c r="B712" i="2"/>
  <c r="B358" i="2"/>
  <c r="B57" i="2"/>
  <c r="C723" i="2"/>
  <c r="K723" i="2" s="1"/>
  <c r="C385" i="2"/>
  <c r="K385" i="2" s="1"/>
  <c r="C11" i="2"/>
  <c r="K11" i="2" s="1"/>
  <c r="D662" i="2"/>
  <c r="D175" i="2"/>
  <c r="B923" i="2"/>
  <c r="B686" i="2"/>
  <c r="B357" i="2"/>
  <c r="B51" i="2"/>
  <c r="C722" i="2"/>
  <c r="K722" i="2" s="1"/>
  <c r="C383" i="2"/>
  <c r="K383" i="2" s="1"/>
  <c r="D940" i="2"/>
  <c r="D656" i="2"/>
  <c r="D172" i="2"/>
  <c r="B922" i="2"/>
  <c r="B593" i="2"/>
  <c r="B356" i="2"/>
  <c r="B50" i="2"/>
  <c r="C642" i="2"/>
  <c r="K642" i="2" s="1"/>
  <c r="C361" i="2"/>
  <c r="K361" i="2" s="1"/>
  <c r="D929" i="2"/>
  <c r="D496" i="2"/>
  <c r="D171" i="2"/>
  <c r="B921" i="2"/>
  <c r="B591" i="2"/>
  <c r="B355" i="2"/>
  <c r="B6" i="2"/>
  <c r="C638" i="2"/>
  <c r="K638" i="2" s="1"/>
  <c r="C359" i="2"/>
  <c r="K359" i="2" s="1"/>
  <c r="D928" i="2"/>
  <c r="D495" i="2"/>
  <c r="D136" i="2"/>
  <c r="B105" i="2"/>
  <c r="B264" i="2"/>
  <c r="B360" i="2"/>
  <c r="B486" i="2"/>
  <c r="B633" i="2"/>
  <c r="B736" i="2"/>
  <c r="B834" i="2"/>
  <c r="B128" i="2"/>
  <c r="B277" i="2"/>
  <c r="B403" i="2"/>
  <c r="B504" i="2"/>
  <c r="B640" i="2"/>
  <c r="B755" i="2"/>
  <c r="B857" i="2"/>
  <c r="B825" i="2"/>
  <c r="B710" i="2"/>
  <c r="B564" i="2"/>
  <c r="B440" i="2"/>
  <c r="B280" i="2"/>
  <c r="B150" i="2"/>
  <c r="B930" i="2"/>
  <c r="B810" i="2"/>
  <c r="B684" i="2"/>
  <c r="B560" i="2"/>
  <c r="B410" i="2"/>
  <c r="B278" i="2"/>
  <c r="B99" i="2"/>
  <c r="C942" i="2"/>
  <c r="K942" i="2" s="1"/>
  <c r="C802" i="2"/>
  <c r="K802" i="2" s="1"/>
  <c r="C663" i="2"/>
  <c r="K663" i="2" s="1"/>
  <c r="C531" i="2"/>
  <c r="K531" i="2" s="1"/>
  <c r="C362" i="2"/>
  <c r="K362" i="2" s="1"/>
  <c r="C188" i="2"/>
  <c r="K188" i="2" s="1"/>
  <c r="C12" i="2"/>
  <c r="K12" i="2" s="1"/>
  <c r="D790" i="2"/>
  <c r="D597" i="2"/>
  <c r="D427" i="2"/>
  <c r="D257" i="2"/>
  <c r="C921" i="2"/>
  <c r="K921" i="2" s="1"/>
  <c r="C797" i="2"/>
  <c r="K797" i="2" s="1"/>
  <c r="C643" i="2"/>
  <c r="K643" i="2" s="1"/>
  <c r="C505" i="2"/>
  <c r="K505" i="2" s="1"/>
  <c r="C360" i="2"/>
  <c r="K360" i="2" s="1"/>
  <c r="C159" i="2"/>
  <c r="K159" i="2" s="1"/>
  <c r="C10" i="2"/>
  <c r="K10" i="2" s="1"/>
  <c r="D773" i="2"/>
  <c r="D568" i="2"/>
  <c r="D424" i="2"/>
  <c r="D17" i="2"/>
  <c r="D107" i="2"/>
  <c r="D185" i="2"/>
  <c r="D286" i="2"/>
  <c r="D358" i="2"/>
  <c r="D434" i="2"/>
  <c r="D535" i="2"/>
  <c r="D600" i="2"/>
  <c r="D672" i="2"/>
  <c r="D764" i="2"/>
  <c r="D841" i="2"/>
  <c r="D921" i="2"/>
  <c r="C56" i="2"/>
  <c r="K56" i="2" s="1"/>
  <c r="C128" i="2"/>
  <c r="K128" i="2" s="1"/>
  <c r="C214" i="2"/>
  <c r="K214" i="2" s="1"/>
  <c r="C296" i="2"/>
  <c r="K296" i="2" s="1"/>
  <c r="C381" i="2"/>
  <c r="K381" i="2" s="1"/>
  <c r="C444" i="2"/>
  <c r="K444" i="2" s="1"/>
  <c r="C513" i="2"/>
  <c r="K513" i="2" s="1"/>
  <c r="C583" i="2"/>
  <c r="K583" i="2" s="1"/>
  <c r="C639" i="2"/>
  <c r="K639" i="2" s="1"/>
  <c r="C713" i="2"/>
  <c r="K713" i="2" s="1"/>
  <c r="C765" i="2"/>
  <c r="K765" i="2" s="1"/>
  <c r="C821" i="2"/>
  <c r="K821" i="2" s="1"/>
  <c r="C892" i="2"/>
  <c r="K892" i="2" s="1"/>
  <c r="C948" i="2"/>
  <c r="K948" i="2" s="1"/>
  <c r="D18" i="2"/>
  <c r="D108" i="2"/>
  <c r="D186" i="2"/>
  <c r="D287" i="2"/>
  <c r="D363" i="2"/>
  <c r="D435" i="2"/>
  <c r="D536" i="2"/>
  <c r="D602" i="2"/>
  <c r="D688" i="2"/>
  <c r="D765" i="2"/>
  <c r="D843" i="2"/>
  <c r="D927" i="2"/>
  <c r="C58" i="2"/>
  <c r="K58" i="2" s="1"/>
  <c r="C144" i="2"/>
  <c r="K144" i="2" s="1"/>
  <c r="C215" i="2"/>
  <c r="K215" i="2" s="1"/>
  <c r="C297" i="2"/>
  <c r="K297" i="2" s="1"/>
  <c r="C382" i="2"/>
  <c r="K382" i="2" s="1"/>
  <c r="C445" i="2"/>
  <c r="K445" i="2" s="1"/>
  <c r="C529" i="2"/>
  <c r="K529" i="2" s="1"/>
  <c r="C588" i="2"/>
  <c r="K588" i="2" s="1"/>
  <c r="C641" i="2"/>
  <c r="K641" i="2" s="1"/>
  <c r="C714" i="2"/>
  <c r="K714" i="2" s="1"/>
  <c r="C766" i="2"/>
  <c r="K766" i="2" s="1"/>
  <c r="C823" i="2"/>
  <c r="K823" i="2" s="1"/>
  <c r="C893" i="2"/>
  <c r="K893" i="2" s="1"/>
  <c r="D22" i="2"/>
  <c r="D37" i="2"/>
  <c r="D27" i="2"/>
  <c r="D137" i="2"/>
  <c r="D239" i="2"/>
  <c r="D325" i="2"/>
  <c r="D428" i="2"/>
  <c r="D506" i="2"/>
  <c r="D604" i="2"/>
  <c r="D706" i="2"/>
  <c r="D794" i="2"/>
  <c r="D892" i="2"/>
  <c r="C25" i="2"/>
  <c r="K25" i="2" s="1"/>
  <c r="C119" i="2"/>
  <c r="K119" i="2" s="1"/>
  <c r="C193" i="2"/>
  <c r="K193" i="2" s="1"/>
  <c r="C313" i="2"/>
  <c r="K313" i="2" s="1"/>
  <c r="C387" i="2"/>
  <c r="K387" i="2" s="1"/>
  <c r="C477" i="2"/>
  <c r="K477" i="2" s="1"/>
  <c r="C536" i="2"/>
  <c r="K536" i="2" s="1"/>
  <c r="C619" i="2"/>
  <c r="K619" i="2" s="1"/>
  <c r="C684" i="2"/>
  <c r="K684" i="2" s="1"/>
  <c r="C761" i="2"/>
  <c r="K761" i="2" s="1"/>
  <c r="C824" i="2"/>
  <c r="K824" i="2" s="1"/>
  <c r="C900" i="2"/>
  <c r="K900" i="2" s="1"/>
  <c r="D31" i="2"/>
  <c r="D141" i="2"/>
  <c r="D243" i="2"/>
  <c r="D326" i="2"/>
  <c r="D431" i="2"/>
  <c r="D508" i="2"/>
  <c r="D623" i="2"/>
  <c r="D707" i="2"/>
  <c r="D795" i="2"/>
  <c r="D893" i="2"/>
  <c r="C26" i="2"/>
  <c r="K26" i="2" s="1"/>
  <c r="C120" i="2"/>
  <c r="K120" i="2" s="1"/>
  <c r="C213" i="2"/>
  <c r="K213" i="2" s="1"/>
  <c r="C314" i="2"/>
  <c r="K314" i="2" s="1"/>
  <c r="C388" i="2"/>
  <c r="K388" i="2" s="1"/>
  <c r="C478" i="2"/>
  <c r="K478" i="2" s="1"/>
  <c r="C544" i="2"/>
  <c r="K544" i="2" s="1"/>
  <c r="C620" i="2"/>
  <c r="K620" i="2" s="1"/>
  <c r="C686" i="2"/>
  <c r="K686" i="2" s="1"/>
  <c r="C764" i="2"/>
  <c r="K764" i="2" s="1"/>
  <c r="C825" i="2"/>
  <c r="K825" i="2" s="1"/>
  <c r="C901" i="2"/>
  <c r="K901" i="2" s="1"/>
  <c r="D35" i="2"/>
  <c r="D146" i="2"/>
  <c r="D248" i="2"/>
  <c r="D353" i="2"/>
  <c r="D432" i="2"/>
  <c r="D537" i="2"/>
  <c r="D625" i="2"/>
  <c r="D723" i="2"/>
  <c r="D796" i="2"/>
  <c r="D895" i="2"/>
  <c r="C28" i="2"/>
  <c r="K28" i="2" s="1"/>
  <c r="C121" i="2"/>
  <c r="K121" i="2" s="1"/>
  <c r="C216" i="2"/>
  <c r="K216" i="2" s="1"/>
  <c r="C315" i="2"/>
  <c r="K315" i="2" s="1"/>
  <c r="C390" i="2"/>
  <c r="K390" i="2" s="1"/>
  <c r="C479" i="2"/>
  <c r="K479" i="2" s="1"/>
  <c r="C553" i="2"/>
  <c r="K553" i="2" s="1"/>
  <c r="C621" i="2"/>
  <c r="K621" i="2" s="1"/>
  <c r="C693" i="2"/>
  <c r="K693" i="2" s="1"/>
  <c r="C767" i="2"/>
  <c r="K767" i="2" s="1"/>
  <c r="C844" i="2"/>
  <c r="K844" i="2" s="1"/>
  <c r="C902" i="2"/>
  <c r="K902" i="2" s="1"/>
  <c r="D56" i="2"/>
  <c r="D149" i="2"/>
  <c r="D252" i="2"/>
  <c r="D354" i="2"/>
  <c r="D433" i="2"/>
  <c r="D538" i="2"/>
  <c r="D626" i="2"/>
  <c r="D728" i="2"/>
  <c r="D797" i="2"/>
  <c r="D897" i="2"/>
  <c r="C29" i="2"/>
  <c r="K29" i="2" s="1"/>
  <c r="C123" i="2"/>
  <c r="K123" i="2" s="1"/>
  <c r="C217" i="2"/>
  <c r="K217" i="2" s="1"/>
  <c r="C321" i="2"/>
  <c r="K321" i="2" s="1"/>
  <c r="C391" i="2"/>
  <c r="K391" i="2" s="1"/>
  <c r="C482" i="2"/>
  <c r="K482" i="2" s="1"/>
  <c r="C555" i="2"/>
  <c r="K555" i="2" s="1"/>
  <c r="C633" i="2"/>
  <c r="K633" i="2" s="1"/>
  <c r="C694" i="2"/>
  <c r="K694" i="2" s="1"/>
  <c r="C769" i="2"/>
  <c r="K769" i="2" s="1"/>
  <c r="C845" i="2"/>
  <c r="K845" i="2" s="1"/>
  <c r="C903" i="2"/>
  <c r="K903" i="2" s="1"/>
  <c r="D58" i="2"/>
  <c r="D170" i="2"/>
  <c r="D253" i="2"/>
  <c r="D355" i="2"/>
  <c r="D455" i="2"/>
  <c r="D539" i="2"/>
  <c r="D627" i="2"/>
  <c r="D729" i="2"/>
  <c r="D805" i="2"/>
  <c r="D898" i="2"/>
  <c r="C41" i="2"/>
  <c r="K41" i="2" s="1"/>
  <c r="C145" i="2"/>
  <c r="K145" i="2" s="1"/>
  <c r="C248" i="2"/>
  <c r="K248" i="2" s="1"/>
  <c r="C323" i="2"/>
  <c r="K323" i="2" s="1"/>
  <c r="C416" i="2"/>
  <c r="K416" i="2" s="1"/>
  <c r="C483" i="2"/>
  <c r="K483" i="2" s="1"/>
  <c r="C567" i="2"/>
  <c r="K567" i="2" s="1"/>
  <c r="C637" i="2"/>
  <c r="K637" i="2" s="1"/>
  <c r="C715" i="2"/>
  <c r="K715" i="2" s="1"/>
  <c r="C770" i="2"/>
  <c r="K770" i="2" s="1"/>
  <c r="C846" i="2"/>
  <c r="K846" i="2" s="1"/>
  <c r="C915" i="2"/>
  <c r="K915" i="2" s="1"/>
  <c r="B879" i="2"/>
  <c r="B805" i="2"/>
  <c r="B692" i="2"/>
  <c r="B623" i="2"/>
  <c r="B537" i="2"/>
  <c r="B418" i="2"/>
  <c r="B335" i="2"/>
  <c r="B259" i="2"/>
  <c r="B149" i="2"/>
  <c r="B49" i="2"/>
  <c r="C869" i="2"/>
  <c r="K869" i="2" s="1"/>
  <c r="C787" i="2"/>
  <c r="K787" i="2" s="1"/>
  <c r="C674" i="2"/>
  <c r="K674" i="2" s="1"/>
  <c r="C589" i="2"/>
  <c r="K589" i="2" s="1"/>
  <c r="C475" i="2"/>
  <c r="K475" i="2" s="1"/>
  <c r="C346" i="2"/>
  <c r="K346" i="2" s="1"/>
  <c r="C192" i="2"/>
  <c r="K192" i="2" s="1"/>
  <c r="C84" i="2"/>
  <c r="K84" i="2" s="1"/>
  <c r="D899" i="2"/>
  <c r="D757" i="2"/>
  <c r="D653" i="2"/>
  <c r="D494" i="2"/>
  <c r="D373" i="2"/>
  <c r="D222" i="2"/>
  <c r="D92" i="2"/>
  <c r="B58" i="2"/>
  <c r="B129" i="2"/>
  <c r="B185" i="2"/>
  <c r="B238" i="2"/>
  <c r="B311" i="2"/>
  <c r="B363" i="2"/>
  <c r="B431" i="2"/>
  <c r="B487" i="2"/>
  <c r="B546" i="2"/>
  <c r="B610" i="2"/>
  <c r="B667" i="2"/>
  <c r="B730" i="2"/>
  <c r="B777" i="2"/>
  <c r="B837" i="2"/>
  <c r="B896" i="2"/>
  <c r="B942" i="2"/>
  <c r="B4" i="2"/>
  <c r="B59" i="2"/>
  <c r="B130" i="2"/>
  <c r="B186" i="2"/>
  <c r="B249" i="2"/>
  <c r="B312" i="2"/>
  <c r="B364" i="2"/>
  <c r="B432" i="2"/>
  <c r="B495" i="2"/>
  <c r="B559" i="2"/>
  <c r="B611" i="2"/>
  <c r="B668" i="2"/>
  <c r="B731" i="2"/>
  <c r="B778" i="2"/>
  <c r="B849" i="2"/>
  <c r="B897" i="2"/>
  <c r="B943" i="2"/>
  <c r="B27" i="2"/>
  <c r="B100" i="2"/>
  <c r="B172" i="2"/>
  <c r="B230" i="2"/>
  <c r="B309" i="2"/>
  <c r="B377" i="2"/>
  <c r="B442" i="2"/>
  <c r="B511" i="2"/>
  <c r="B586" i="2"/>
  <c r="B644" i="2"/>
  <c r="B713" i="2"/>
  <c r="B775" i="2"/>
  <c r="B850" i="2"/>
  <c r="B901" i="2"/>
  <c r="B30" i="2"/>
  <c r="B101" i="2"/>
  <c r="B174" i="2"/>
  <c r="B231" i="2"/>
  <c r="B310" i="2"/>
  <c r="B378" i="2"/>
  <c r="B457" i="2"/>
  <c r="B515" i="2"/>
  <c r="B587" i="2"/>
  <c r="B645" i="2"/>
  <c r="B714" i="2"/>
  <c r="B776" i="2"/>
  <c r="B851" i="2"/>
  <c r="B902" i="2"/>
  <c r="B31" i="2"/>
  <c r="B102" i="2"/>
  <c r="B175" i="2"/>
  <c r="B232" i="2"/>
  <c r="B313" i="2"/>
  <c r="B382" i="2"/>
  <c r="B458" i="2"/>
  <c r="B516" i="2"/>
  <c r="B588" i="2"/>
  <c r="B646" i="2"/>
  <c r="B715" i="2"/>
  <c r="B789" i="2"/>
  <c r="B852" i="2"/>
  <c r="B919" i="2"/>
  <c r="B44" i="2"/>
  <c r="B103" i="2"/>
  <c r="B176" i="2"/>
  <c r="B236" i="2"/>
  <c r="B314" i="2"/>
  <c r="B383" i="2"/>
  <c r="B459" i="2"/>
  <c r="B517" i="2"/>
  <c r="B590" i="2"/>
  <c r="B659" i="2"/>
  <c r="B716" i="2"/>
  <c r="B801" i="2"/>
  <c r="B855" i="2"/>
  <c r="B920" i="2"/>
  <c r="B47" i="2"/>
  <c r="B104" i="2"/>
  <c r="B183" i="2"/>
  <c r="B258" i="2"/>
  <c r="B878" i="2"/>
  <c r="B802" i="2"/>
  <c r="B691" i="2"/>
  <c r="B622" i="2"/>
  <c r="B536" i="2"/>
  <c r="B415" i="2"/>
  <c r="B334" i="2"/>
  <c r="B229" i="2"/>
  <c r="B134" i="2"/>
  <c r="B48" i="2"/>
  <c r="C868" i="2"/>
  <c r="K868" i="2" s="1"/>
  <c r="C776" i="2"/>
  <c r="K776" i="2" s="1"/>
  <c r="C670" i="2"/>
  <c r="K670" i="2" s="1"/>
  <c r="C581" i="2"/>
  <c r="K581" i="2" s="1"/>
  <c r="C452" i="2"/>
  <c r="K452" i="2" s="1"/>
  <c r="C327" i="2"/>
  <c r="K327" i="2" s="1"/>
  <c r="C191" i="2"/>
  <c r="K191" i="2" s="1"/>
  <c r="C83" i="2"/>
  <c r="K83" i="2" s="1"/>
  <c r="D867" i="2"/>
  <c r="D738" i="2"/>
  <c r="D629" i="2"/>
  <c r="D492" i="2"/>
  <c r="D367" i="2"/>
  <c r="D218" i="2"/>
  <c r="D66" i="2"/>
  <c r="B940" i="2"/>
  <c r="B859" i="2"/>
  <c r="B767" i="2"/>
  <c r="B688" i="2"/>
  <c r="B608" i="2"/>
  <c r="B510" i="2"/>
  <c r="B414" i="2"/>
  <c r="B332" i="2"/>
  <c r="B228" i="2"/>
  <c r="B133" i="2"/>
  <c r="B22" i="2"/>
  <c r="C867" i="2"/>
  <c r="K867" i="2" s="1"/>
  <c r="C775" i="2"/>
  <c r="K775" i="2" s="1"/>
  <c r="C665" i="2"/>
  <c r="K665" i="2" s="1"/>
  <c r="C569" i="2"/>
  <c r="K569" i="2" s="1"/>
  <c r="C449" i="2"/>
  <c r="K449" i="2" s="1"/>
  <c r="C326" i="2"/>
  <c r="K326" i="2" s="1"/>
  <c r="C190" i="2"/>
  <c r="K190" i="2" s="1"/>
  <c r="C79" i="2"/>
  <c r="K79" i="2" s="1"/>
  <c r="D866" i="2"/>
  <c r="D735" i="2"/>
  <c r="D599" i="2"/>
  <c r="D491" i="2"/>
  <c r="D357" i="2"/>
  <c r="D207" i="2"/>
  <c r="D60" i="2"/>
  <c r="B932" i="2"/>
  <c r="B858" i="2"/>
  <c r="B766" i="2"/>
  <c r="B687" i="2"/>
  <c r="B597" i="2"/>
  <c r="B505" i="2"/>
  <c r="B412" i="2"/>
  <c r="B331" i="2"/>
  <c r="B227" i="2"/>
  <c r="B132" i="2"/>
  <c r="B21" i="2"/>
  <c r="C866" i="2"/>
  <c r="K866" i="2" s="1"/>
  <c r="C748" i="2"/>
  <c r="K748" i="2" s="1"/>
  <c r="C664" i="2"/>
  <c r="K664" i="2" s="1"/>
  <c r="C568" i="2"/>
  <c r="K568" i="2" s="1"/>
  <c r="C443" i="2"/>
  <c r="K443" i="2" s="1"/>
  <c r="C325" i="2"/>
  <c r="K325" i="2" s="1"/>
  <c r="C189" i="2"/>
  <c r="K189" i="2" s="1"/>
  <c r="C78" i="2"/>
  <c r="K78" i="2" s="1"/>
  <c r="D865" i="2"/>
  <c r="D734" i="2"/>
  <c r="D598" i="2"/>
  <c r="D490" i="2"/>
  <c r="D318" i="2"/>
  <c r="D190" i="2"/>
  <c r="D59" i="2"/>
  <c r="A3" i="2"/>
  <c r="D4" i="2"/>
  <c r="D20" i="2"/>
  <c r="D36" i="2"/>
  <c r="D52" i="2"/>
  <c r="D68" i="2"/>
  <c r="D84" i="2"/>
  <c r="D100" i="2"/>
  <c r="D116" i="2"/>
  <c r="D132" i="2"/>
  <c r="D148" i="2"/>
  <c r="D164" i="2"/>
  <c r="D180" i="2"/>
  <c r="D196" i="2"/>
  <c r="D212" i="2"/>
  <c r="D228" i="2"/>
  <c r="D244" i="2"/>
  <c r="D260" i="2"/>
  <c r="D276" i="2"/>
  <c r="D292" i="2"/>
  <c r="D308" i="2"/>
  <c r="D324" i="2"/>
  <c r="D340" i="2"/>
  <c r="D356" i="2"/>
  <c r="D372" i="2"/>
  <c r="D388" i="2"/>
  <c r="D404" i="2"/>
  <c r="D420" i="2"/>
  <c r="D436" i="2"/>
  <c r="D452" i="2"/>
  <c r="D468" i="2"/>
  <c r="D484" i="2"/>
  <c r="D500" i="2"/>
  <c r="D516" i="2"/>
  <c r="D532" i="2"/>
  <c r="D548" i="2"/>
  <c r="D564" i="2"/>
  <c r="D580" i="2"/>
  <c r="D596" i="2"/>
  <c r="D612" i="2"/>
  <c r="D628" i="2"/>
  <c r="D644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C18" i="2"/>
  <c r="K18" i="2" s="1"/>
  <c r="C34" i="2"/>
  <c r="K34" i="2" s="1"/>
  <c r="C50" i="2"/>
  <c r="K50" i="2" s="1"/>
  <c r="C66" i="2"/>
  <c r="K66" i="2" s="1"/>
  <c r="C82" i="2"/>
  <c r="K82" i="2" s="1"/>
  <c r="C98" i="2"/>
  <c r="K98" i="2" s="1"/>
  <c r="C114" i="2"/>
  <c r="K114" i="2" s="1"/>
  <c r="C130" i="2"/>
  <c r="K130" i="2" s="1"/>
  <c r="C146" i="2"/>
  <c r="K146" i="2" s="1"/>
  <c r="C162" i="2"/>
  <c r="K162" i="2" s="1"/>
  <c r="C178" i="2"/>
  <c r="K178" i="2" s="1"/>
  <c r="C194" i="2"/>
  <c r="K194" i="2" s="1"/>
  <c r="C210" i="2"/>
  <c r="K210" i="2" s="1"/>
  <c r="C226" i="2"/>
  <c r="K226" i="2" s="1"/>
  <c r="C242" i="2"/>
  <c r="K242" i="2" s="1"/>
  <c r="C258" i="2"/>
  <c r="K258" i="2" s="1"/>
  <c r="C274" i="2"/>
  <c r="K274" i="2" s="1"/>
  <c r="C290" i="2"/>
  <c r="K290" i="2" s="1"/>
  <c r="C306" i="2"/>
  <c r="K306" i="2" s="1"/>
  <c r="C322" i="2"/>
  <c r="K322" i="2" s="1"/>
  <c r="C338" i="2"/>
  <c r="K338" i="2" s="1"/>
  <c r="C354" i="2"/>
  <c r="K354" i="2" s="1"/>
  <c r="C370" i="2"/>
  <c r="K370" i="2" s="1"/>
  <c r="C386" i="2"/>
  <c r="K386" i="2" s="1"/>
  <c r="C402" i="2"/>
  <c r="K402" i="2" s="1"/>
  <c r="D21" i="2"/>
  <c r="D38" i="2"/>
  <c r="D55" i="2"/>
  <c r="D72" i="2"/>
  <c r="D89" i="2"/>
  <c r="D106" i="2"/>
  <c r="D123" i="2"/>
  <c r="D140" i="2"/>
  <c r="D157" i="2"/>
  <c r="D174" i="2"/>
  <c r="D191" i="2"/>
  <c r="D208" i="2"/>
  <c r="D225" i="2"/>
  <c r="D242" i="2"/>
  <c r="D259" i="2"/>
  <c r="D277" i="2"/>
  <c r="D294" i="2"/>
  <c r="D311" i="2"/>
  <c r="D328" i="2"/>
  <c r="D345" i="2"/>
  <c r="D362" i="2"/>
  <c r="D379" i="2"/>
  <c r="D396" i="2"/>
  <c r="D413" i="2"/>
  <c r="D430" i="2"/>
  <c r="D447" i="2"/>
  <c r="D464" i="2"/>
  <c r="D481" i="2"/>
  <c r="D498" i="2"/>
  <c r="D515" i="2"/>
  <c r="D533" i="2"/>
  <c r="D550" i="2"/>
  <c r="D567" i="2"/>
  <c r="D584" i="2"/>
  <c r="D601" i="2"/>
  <c r="D618" i="2"/>
  <c r="D635" i="2"/>
  <c r="D652" i="2"/>
  <c r="D669" i="2"/>
  <c r="D686" i="2"/>
  <c r="D703" i="2"/>
  <c r="D720" i="2"/>
  <c r="D737" i="2"/>
  <c r="D754" i="2"/>
  <c r="D771" i="2"/>
  <c r="D789" i="2"/>
  <c r="D806" i="2"/>
  <c r="D823" i="2"/>
  <c r="D840" i="2"/>
  <c r="D857" i="2"/>
  <c r="D874" i="2"/>
  <c r="D891" i="2"/>
  <c r="D908" i="2"/>
  <c r="D925" i="2"/>
  <c r="D942" i="2"/>
  <c r="C13" i="2"/>
  <c r="K13" i="2" s="1"/>
  <c r="C30" i="2"/>
  <c r="K30" i="2" s="1"/>
  <c r="C47" i="2"/>
  <c r="K47" i="2" s="1"/>
  <c r="C64" i="2"/>
  <c r="K64" i="2" s="1"/>
  <c r="C81" i="2"/>
  <c r="K81" i="2" s="1"/>
  <c r="C99" i="2"/>
  <c r="K99" i="2" s="1"/>
  <c r="C116" i="2"/>
  <c r="K116" i="2" s="1"/>
  <c r="C133" i="2"/>
  <c r="K133" i="2" s="1"/>
  <c r="C150" i="2"/>
  <c r="K150" i="2" s="1"/>
  <c r="C167" i="2"/>
  <c r="K167" i="2" s="1"/>
  <c r="C184" i="2"/>
  <c r="K184" i="2" s="1"/>
  <c r="C201" i="2"/>
  <c r="K201" i="2" s="1"/>
  <c r="C218" i="2"/>
  <c r="K218" i="2" s="1"/>
  <c r="C235" i="2"/>
  <c r="K235" i="2" s="1"/>
  <c r="C252" i="2"/>
  <c r="K252" i="2" s="1"/>
  <c r="C269" i="2"/>
  <c r="K269" i="2" s="1"/>
  <c r="C286" i="2"/>
  <c r="K286" i="2" s="1"/>
  <c r="C303" i="2"/>
  <c r="K303" i="2" s="1"/>
  <c r="C320" i="2"/>
  <c r="K320" i="2" s="1"/>
  <c r="C337" i="2"/>
  <c r="K337" i="2" s="1"/>
  <c r="C355" i="2"/>
  <c r="K355" i="2" s="1"/>
  <c r="C372" i="2"/>
  <c r="K372" i="2" s="1"/>
  <c r="C389" i="2"/>
  <c r="K389" i="2" s="1"/>
  <c r="C406" i="2"/>
  <c r="K406" i="2" s="1"/>
  <c r="C422" i="2"/>
  <c r="K422" i="2" s="1"/>
  <c r="C438" i="2"/>
  <c r="K438" i="2" s="1"/>
  <c r="C454" i="2"/>
  <c r="K454" i="2" s="1"/>
  <c r="C470" i="2"/>
  <c r="K470" i="2" s="1"/>
  <c r="C486" i="2"/>
  <c r="K486" i="2" s="1"/>
  <c r="C502" i="2"/>
  <c r="K502" i="2" s="1"/>
  <c r="D19" i="2"/>
  <c r="D39" i="2"/>
  <c r="D57" i="2"/>
  <c r="D75" i="2"/>
  <c r="D93" i="2"/>
  <c r="D111" i="2"/>
  <c r="D129" i="2"/>
  <c r="D147" i="2"/>
  <c r="D166" i="2"/>
  <c r="D184" i="2"/>
  <c r="D202" i="2"/>
  <c r="D220" i="2"/>
  <c r="D238" i="2"/>
  <c r="D256" i="2"/>
  <c r="D274" i="2"/>
  <c r="D293" i="2"/>
  <c r="D312" i="2"/>
  <c r="D330" i="2"/>
  <c r="D348" i="2"/>
  <c r="D366" i="2"/>
  <c r="D384" i="2"/>
  <c r="D402" i="2"/>
  <c r="D421" i="2"/>
  <c r="D439" i="2"/>
  <c r="D457" i="2"/>
  <c r="D475" i="2"/>
  <c r="D493" i="2"/>
  <c r="D511" i="2"/>
  <c r="D529" i="2"/>
  <c r="D547" i="2"/>
  <c r="D566" i="2"/>
  <c r="D585" i="2"/>
  <c r="D603" i="2"/>
  <c r="D621" i="2"/>
  <c r="D639" i="2"/>
  <c r="D657" i="2"/>
  <c r="D675" i="2"/>
  <c r="D694" i="2"/>
  <c r="D712" i="2"/>
  <c r="D730" i="2"/>
  <c r="D748" i="2"/>
  <c r="D766" i="2"/>
  <c r="D784" i="2"/>
  <c r="D802" i="2"/>
  <c r="D821" i="2"/>
  <c r="D839" i="2"/>
  <c r="D858" i="2"/>
  <c r="D876" i="2"/>
  <c r="D894" i="2"/>
  <c r="D912" i="2"/>
  <c r="D930" i="2"/>
  <c r="C21" i="2"/>
  <c r="K21" i="2" s="1"/>
  <c r="C39" i="2"/>
  <c r="K39" i="2" s="1"/>
  <c r="C57" i="2"/>
  <c r="K57" i="2" s="1"/>
  <c r="C75" i="2"/>
  <c r="K75" i="2" s="1"/>
  <c r="C93" i="2"/>
  <c r="K93" i="2" s="1"/>
  <c r="C111" i="2"/>
  <c r="K111" i="2" s="1"/>
  <c r="C129" i="2"/>
  <c r="K129" i="2" s="1"/>
  <c r="C148" i="2"/>
  <c r="K148" i="2" s="1"/>
  <c r="C166" i="2"/>
  <c r="K166" i="2" s="1"/>
  <c r="C185" i="2"/>
  <c r="K185" i="2" s="1"/>
  <c r="C203" i="2"/>
  <c r="K203" i="2" s="1"/>
  <c r="C221" i="2"/>
  <c r="K221" i="2" s="1"/>
  <c r="C239" i="2"/>
  <c r="K239" i="2" s="1"/>
  <c r="C257" i="2"/>
  <c r="K257" i="2" s="1"/>
  <c r="C276" i="2"/>
  <c r="K276" i="2" s="1"/>
  <c r="C294" i="2"/>
  <c r="K294" i="2" s="1"/>
  <c r="C312" i="2"/>
  <c r="K312" i="2" s="1"/>
  <c r="C330" i="2"/>
  <c r="K330" i="2" s="1"/>
  <c r="C348" i="2"/>
  <c r="K348" i="2" s="1"/>
  <c r="C366" i="2"/>
  <c r="K366" i="2" s="1"/>
  <c r="C384" i="2"/>
  <c r="K384" i="2" s="1"/>
  <c r="C403" i="2"/>
  <c r="K403" i="2" s="1"/>
  <c r="C420" i="2"/>
  <c r="K420" i="2" s="1"/>
  <c r="C437" i="2"/>
  <c r="K437" i="2" s="1"/>
  <c r="C455" i="2"/>
  <c r="K455" i="2" s="1"/>
  <c r="C472" i="2"/>
  <c r="K472" i="2" s="1"/>
  <c r="C489" i="2"/>
  <c r="K489" i="2" s="1"/>
  <c r="C506" i="2"/>
  <c r="K506" i="2" s="1"/>
  <c r="C522" i="2"/>
  <c r="K522" i="2" s="1"/>
  <c r="C538" i="2"/>
  <c r="K538" i="2" s="1"/>
  <c r="C554" i="2"/>
  <c r="K554" i="2" s="1"/>
  <c r="C570" i="2"/>
  <c r="K570" i="2" s="1"/>
  <c r="C586" i="2"/>
  <c r="K586" i="2" s="1"/>
  <c r="D23" i="2"/>
  <c r="D42" i="2"/>
  <c r="D61" i="2"/>
  <c r="D80" i="2"/>
  <c r="D99" i="2"/>
  <c r="D119" i="2"/>
  <c r="D138" i="2"/>
  <c r="D158" i="2"/>
  <c r="D177" i="2"/>
  <c r="D197" i="2"/>
  <c r="D216" i="2"/>
  <c r="D235" i="2"/>
  <c r="D254" i="2"/>
  <c r="D273" i="2"/>
  <c r="D295" i="2"/>
  <c r="D314" i="2"/>
  <c r="D333" i="2"/>
  <c r="D352" i="2"/>
  <c r="D371" i="2"/>
  <c r="D391" i="2"/>
  <c r="D410" i="2"/>
  <c r="D429" i="2"/>
  <c r="D449" i="2"/>
  <c r="D469" i="2"/>
  <c r="D488" i="2"/>
  <c r="D507" i="2"/>
  <c r="D526" i="2"/>
  <c r="D545" i="2"/>
  <c r="D565" i="2"/>
  <c r="D586" i="2"/>
  <c r="D605" i="2"/>
  <c r="D624" i="2"/>
  <c r="D643" i="2"/>
  <c r="D663" i="2"/>
  <c r="D682" i="2"/>
  <c r="D701" i="2"/>
  <c r="D721" i="2"/>
  <c r="D741" i="2"/>
  <c r="D760" i="2"/>
  <c r="D779" i="2"/>
  <c r="D798" i="2"/>
  <c r="D817" i="2"/>
  <c r="D837" i="2"/>
  <c r="D856" i="2"/>
  <c r="D877" i="2"/>
  <c r="D896" i="2"/>
  <c r="D915" i="2"/>
  <c r="D935" i="2"/>
  <c r="C8" i="2"/>
  <c r="K8" i="2" s="1"/>
  <c r="C27" i="2"/>
  <c r="K27" i="2" s="1"/>
  <c r="C46" i="2"/>
  <c r="K46" i="2" s="1"/>
  <c r="C67" i="2"/>
  <c r="K67" i="2" s="1"/>
  <c r="C86" i="2"/>
  <c r="K86" i="2" s="1"/>
  <c r="C105" i="2"/>
  <c r="K105" i="2" s="1"/>
  <c r="C124" i="2"/>
  <c r="K124" i="2" s="1"/>
  <c r="C143" i="2"/>
  <c r="K143" i="2" s="1"/>
  <c r="C163" i="2"/>
  <c r="K163" i="2" s="1"/>
  <c r="C182" i="2"/>
  <c r="K182" i="2" s="1"/>
  <c r="C202" i="2"/>
  <c r="K202" i="2" s="1"/>
  <c r="C222" i="2"/>
  <c r="K222" i="2" s="1"/>
  <c r="C241" i="2"/>
  <c r="K241" i="2" s="1"/>
  <c r="C261" i="2"/>
  <c r="K261" i="2" s="1"/>
  <c r="C280" i="2"/>
  <c r="K280" i="2" s="1"/>
  <c r="C299" i="2"/>
  <c r="K299" i="2" s="1"/>
  <c r="C318" i="2"/>
  <c r="K318" i="2" s="1"/>
  <c r="C339" i="2"/>
  <c r="K339" i="2" s="1"/>
  <c r="C358" i="2"/>
  <c r="K358" i="2" s="1"/>
  <c r="C377" i="2"/>
  <c r="K377" i="2" s="1"/>
  <c r="C396" i="2"/>
  <c r="K396" i="2" s="1"/>
  <c r="C415" i="2"/>
  <c r="K415" i="2" s="1"/>
  <c r="C433" i="2"/>
  <c r="K433" i="2" s="1"/>
  <c r="C451" i="2"/>
  <c r="K451" i="2" s="1"/>
  <c r="C469" i="2"/>
  <c r="K469" i="2" s="1"/>
  <c r="C488" i="2"/>
  <c r="K488" i="2" s="1"/>
  <c r="C507" i="2"/>
  <c r="K507" i="2" s="1"/>
  <c r="C524" i="2"/>
  <c r="K524" i="2" s="1"/>
  <c r="C541" i="2"/>
  <c r="K541" i="2" s="1"/>
  <c r="C558" i="2"/>
  <c r="K558" i="2" s="1"/>
  <c r="C575" i="2"/>
  <c r="K575" i="2" s="1"/>
  <c r="C592" i="2"/>
  <c r="K592" i="2" s="1"/>
  <c r="C608" i="2"/>
  <c r="K608" i="2" s="1"/>
  <c r="C624" i="2"/>
  <c r="K624" i="2" s="1"/>
  <c r="C640" i="2"/>
  <c r="K640" i="2" s="1"/>
  <c r="C656" i="2"/>
  <c r="K656" i="2" s="1"/>
  <c r="C672" i="2"/>
  <c r="K672" i="2" s="1"/>
  <c r="C688" i="2"/>
  <c r="K688" i="2" s="1"/>
  <c r="C704" i="2"/>
  <c r="K704" i="2" s="1"/>
  <c r="C720" i="2"/>
  <c r="K720" i="2" s="1"/>
  <c r="C736" i="2"/>
  <c r="K736" i="2" s="1"/>
  <c r="C752" i="2"/>
  <c r="K752" i="2" s="1"/>
  <c r="C768" i="2"/>
  <c r="K768" i="2" s="1"/>
  <c r="C784" i="2"/>
  <c r="K784" i="2" s="1"/>
  <c r="C800" i="2"/>
  <c r="K800" i="2" s="1"/>
  <c r="C816" i="2"/>
  <c r="K816" i="2" s="1"/>
  <c r="C832" i="2"/>
  <c r="K832" i="2" s="1"/>
  <c r="C848" i="2"/>
  <c r="K848" i="2" s="1"/>
  <c r="C864" i="2"/>
  <c r="K864" i="2" s="1"/>
  <c r="C880" i="2"/>
  <c r="K880" i="2" s="1"/>
  <c r="C896" i="2"/>
  <c r="K896" i="2" s="1"/>
  <c r="C912" i="2"/>
  <c r="K912" i="2" s="1"/>
  <c r="C928" i="2"/>
  <c r="K928" i="2" s="1"/>
  <c r="C944" i="2"/>
  <c r="K944" i="2" s="1"/>
  <c r="D5" i="2"/>
  <c r="D24" i="2"/>
  <c r="D43" i="2"/>
  <c r="D62" i="2"/>
  <c r="D81" i="2"/>
  <c r="D101" i="2"/>
  <c r="D120" i="2"/>
  <c r="D139" i="2"/>
  <c r="D159" i="2"/>
  <c r="D25" i="2"/>
  <c r="D46" i="2"/>
  <c r="D67" i="2"/>
  <c r="D90" i="2"/>
  <c r="D112" i="2"/>
  <c r="D134" i="2"/>
  <c r="D155" i="2"/>
  <c r="D178" i="2"/>
  <c r="D199" i="2"/>
  <c r="D219" i="2"/>
  <c r="D240" i="2"/>
  <c r="D262" i="2"/>
  <c r="D282" i="2"/>
  <c r="D302" i="2"/>
  <c r="D322" i="2"/>
  <c r="D343" i="2"/>
  <c r="D364" i="2"/>
  <c r="D385" i="2"/>
  <c r="D406" i="2"/>
  <c r="D426" i="2"/>
  <c r="D446" i="2"/>
  <c r="D467" i="2"/>
  <c r="D489" i="2"/>
  <c r="D509" i="2"/>
  <c r="D530" i="2"/>
  <c r="D552" i="2"/>
  <c r="D572" i="2"/>
  <c r="D592" i="2"/>
  <c r="D613" i="2"/>
  <c r="D633" i="2"/>
  <c r="D654" i="2"/>
  <c r="D674" i="2"/>
  <c r="D696" i="2"/>
  <c r="D716" i="2"/>
  <c r="D736" i="2"/>
  <c r="D758" i="2"/>
  <c r="D778" i="2"/>
  <c r="D799" i="2"/>
  <c r="D819" i="2"/>
  <c r="D842" i="2"/>
  <c r="D862" i="2"/>
  <c r="D882" i="2"/>
  <c r="D903" i="2"/>
  <c r="D923" i="2"/>
  <c r="D944" i="2"/>
  <c r="C19" i="2"/>
  <c r="K19" i="2" s="1"/>
  <c r="C40" i="2"/>
  <c r="K40" i="2" s="1"/>
  <c r="C60" i="2"/>
  <c r="K60" i="2" s="1"/>
  <c r="C80" i="2"/>
  <c r="K80" i="2" s="1"/>
  <c r="C102" i="2"/>
  <c r="K102" i="2" s="1"/>
  <c r="C122" i="2"/>
  <c r="K122" i="2" s="1"/>
  <c r="C142" i="2"/>
  <c r="K142" i="2" s="1"/>
  <c r="C164" i="2"/>
  <c r="K164" i="2" s="1"/>
  <c r="C186" i="2"/>
  <c r="K186" i="2" s="1"/>
  <c r="C206" i="2"/>
  <c r="K206" i="2" s="1"/>
  <c r="C227" i="2"/>
  <c r="K227" i="2" s="1"/>
  <c r="C247" i="2"/>
  <c r="K247" i="2" s="1"/>
  <c r="C267" i="2"/>
  <c r="K267" i="2" s="1"/>
  <c r="C288" i="2"/>
  <c r="K288" i="2" s="1"/>
  <c r="C309" i="2"/>
  <c r="K309" i="2" s="1"/>
  <c r="C329" i="2"/>
  <c r="K329" i="2" s="1"/>
  <c r="C350" i="2"/>
  <c r="K350" i="2" s="1"/>
  <c r="C371" i="2"/>
  <c r="K371" i="2" s="1"/>
  <c r="C392" i="2"/>
  <c r="K392" i="2" s="1"/>
  <c r="C412" i="2"/>
  <c r="K412" i="2" s="1"/>
  <c r="C431" i="2"/>
  <c r="K431" i="2" s="1"/>
  <c r="C450" i="2"/>
  <c r="K450" i="2" s="1"/>
  <c r="C471" i="2"/>
  <c r="K471" i="2" s="1"/>
  <c r="C491" i="2"/>
  <c r="K491" i="2" s="1"/>
  <c r="C510" i="2"/>
  <c r="K510" i="2" s="1"/>
  <c r="C528" i="2"/>
  <c r="K528" i="2" s="1"/>
  <c r="C546" i="2"/>
  <c r="K546" i="2" s="1"/>
  <c r="C564" i="2"/>
  <c r="K564" i="2" s="1"/>
  <c r="C582" i="2"/>
  <c r="K582" i="2" s="1"/>
  <c r="C600" i="2"/>
  <c r="K600" i="2" s="1"/>
  <c r="C617" i="2"/>
  <c r="K617" i="2" s="1"/>
  <c r="C634" i="2"/>
  <c r="K634" i="2" s="1"/>
  <c r="C651" i="2"/>
  <c r="K651" i="2" s="1"/>
  <c r="C668" i="2"/>
  <c r="K668" i="2" s="1"/>
  <c r="C685" i="2"/>
  <c r="K685" i="2" s="1"/>
  <c r="C702" i="2"/>
  <c r="K702" i="2" s="1"/>
  <c r="C719" i="2"/>
  <c r="K719" i="2" s="1"/>
  <c r="C737" i="2"/>
  <c r="K737" i="2" s="1"/>
  <c r="C754" i="2"/>
  <c r="K754" i="2" s="1"/>
  <c r="C771" i="2"/>
  <c r="K771" i="2" s="1"/>
  <c r="C788" i="2"/>
  <c r="K788" i="2" s="1"/>
  <c r="C805" i="2"/>
  <c r="K805" i="2" s="1"/>
  <c r="C822" i="2"/>
  <c r="K822" i="2" s="1"/>
  <c r="C839" i="2"/>
  <c r="K839" i="2" s="1"/>
  <c r="C856" i="2"/>
  <c r="K856" i="2" s="1"/>
  <c r="C873" i="2"/>
  <c r="K873" i="2" s="1"/>
  <c r="C890" i="2"/>
  <c r="K890" i="2" s="1"/>
  <c r="C907" i="2"/>
  <c r="K907" i="2" s="1"/>
  <c r="C924" i="2"/>
  <c r="K924" i="2" s="1"/>
  <c r="C941" i="2"/>
  <c r="K941" i="2" s="1"/>
  <c r="H3" i="2"/>
  <c r="D26" i="2"/>
  <c r="D47" i="2"/>
  <c r="D69" i="2"/>
  <c r="D91" i="2"/>
  <c r="D113" i="2"/>
  <c r="D135" i="2"/>
  <c r="D156" i="2"/>
  <c r="D179" i="2"/>
  <c r="D200" i="2"/>
  <c r="D221" i="2"/>
  <c r="D241" i="2"/>
  <c r="D263" i="2"/>
  <c r="D283" i="2"/>
  <c r="D303" i="2"/>
  <c r="D323" i="2"/>
  <c r="D344" i="2"/>
  <c r="D365" i="2"/>
  <c r="D386" i="2"/>
  <c r="D407" i="2"/>
  <c r="D28" i="2"/>
  <c r="D51" i="2"/>
  <c r="D77" i="2"/>
  <c r="D103" i="2"/>
  <c r="D127" i="2"/>
  <c r="D152" i="2"/>
  <c r="D176" i="2"/>
  <c r="D203" i="2"/>
  <c r="D226" i="2"/>
  <c r="D249" i="2"/>
  <c r="D271" i="2"/>
  <c r="D297" i="2"/>
  <c r="D319" i="2"/>
  <c r="D342" i="2"/>
  <c r="D368" i="2"/>
  <c r="D392" i="2"/>
  <c r="D415" i="2"/>
  <c r="D437" i="2"/>
  <c r="D459" i="2"/>
  <c r="D480" i="2"/>
  <c r="D503" i="2"/>
  <c r="D524" i="2"/>
  <c r="D546" i="2"/>
  <c r="D570" i="2"/>
  <c r="D591" i="2"/>
  <c r="D614" i="2"/>
  <c r="D636" i="2"/>
  <c r="D658" i="2"/>
  <c r="D680" i="2"/>
  <c r="D702" i="2"/>
  <c r="D725" i="2"/>
  <c r="D746" i="2"/>
  <c r="D768" i="2"/>
  <c r="D791" i="2"/>
  <c r="D812" i="2"/>
  <c r="D833" i="2"/>
  <c r="D855" i="2"/>
  <c r="D879" i="2"/>
  <c r="D901" i="2"/>
  <c r="D922" i="2"/>
  <c r="D945" i="2"/>
  <c r="C22" i="2"/>
  <c r="K22" i="2" s="1"/>
  <c r="C43" i="2"/>
  <c r="K43" i="2" s="1"/>
  <c r="C65" i="2"/>
  <c r="K65" i="2" s="1"/>
  <c r="C88" i="2"/>
  <c r="K88" i="2" s="1"/>
  <c r="C109" i="2"/>
  <c r="K109" i="2" s="1"/>
  <c r="C132" i="2"/>
  <c r="K132" i="2" s="1"/>
  <c r="C154" i="2"/>
  <c r="K154" i="2" s="1"/>
  <c r="C175" i="2"/>
  <c r="K175" i="2" s="1"/>
  <c r="C197" i="2"/>
  <c r="K197" i="2" s="1"/>
  <c r="C219" i="2"/>
  <c r="K219" i="2" s="1"/>
  <c r="C243" i="2"/>
  <c r="K243" i="2" s="1"/>
  <c r="C264" i="2"/>
  <c r="K264" i="2" s="1"/>
  <c r="C285" i="2"/>
  <c r="K285" i="2" s="1"/>
  <c r="C308" i="2"/>
  <c r="K308" i="2" s="1"/>
  <c r="C331" i="2"/>
  <c r="K331" i="2" s="1"/>
  <c r="C352" i="2"/>
  <c r="K352" i="2" s="1"/>
  <c r="C375" i="2"/>
  <c r="K375" i="2" s="1"/>
  <c r="C397" i="2"/>
  <c r="K397" i="2" s="1"/>
  <c r="C418" i="2"/>
  <c r="K418" i="2" s="1"/>
  <c r="C440" i="2"/>
  <c r="K440" i="2" s="1"/>
  <c r="C460" i="2"/>
  <c r="K460" i="2" s="1"/>
  <c r="C480" i="2"/>
  <c r="K480" i="2" s="1"/>
  <c r="C500" i="2"/>
  <c r="K500" i="2" s="1"/>
  <c r="C520" i="2"/>
  <c r="K520" i="2" s="1"/>
  <c r="C540" i="2"/>
  <c r="K540" i="2" s="1"/>
  <c r="C560" i="2"/>
  <c r="K560" i="2" s="1"/>
  <c r="C579" i="2"/>
  <c r="K579" i="2" s="1"/>
  <c r="C598" i="2"/>
  <c r="K598" i="2" s="1"/>
  <c r="C616" i="2"/>
  <c r="K616" i="2" s="1"/>
  <c r="C635" i="2"/>
  <c r="K635" i="2" s="1"/>
  <c r="C653" i="2"/>
  <c r="K653" i="2" s="1"/>
  <c r="C671" i="2"/>
  <c r="K671" i="2" s="1"/>
  <c r="C690" i="2"/>
  <c r="K690" i="2" s="1"/>
  <c r="C708" i="2"/>
  <c r="K708" i="2" s="1"/>
  <c r="C726" i="2"/>
  <c r="K726" i="2" s="1"/>
  <c r="C744" i="2"/>
  <c r="K744" i="2" s="1"/>
  <c r="C762" i="2"/>
  <c r="K762" i="2" s="1"/>
  <c r="C780" i="2"/>
  <c r="K780" i="2" s="1"/>
  <c r="C798" i="2"/>
  <c r="K798" i="2" s="1"/>
  <c r="C817" i="2"/>
  <c r="K817" i="2" s="1"/>
  <c r="C835" i="2"/>
  <c r="K835" i="2" s="1"/>
  <c r="C853" i="2"/>
  <c r="K853" i="2" s="1"/>
  <c r="C871" i="2"/>
  <c r="K871" i="2" s="1"/>
  <c r="C889" i="2"/>
  <c r="K889" i="2" s="1"/>
  <c r="C908" i="2"/>
  <c r="K908" i="2" s="1"/>
  <c r="C926" i="2"/>
  <c r="K926" i="2" s="1"/>
  <c r="C945" i="2"/>
  <c r="K945" i="2" s="1"/>
  <c r="D6" i="2"/>
  <c r="D29" i="2"/>
  <c r="D53" i="2"/>
  <c r="D78" i="2"/>
  <c r="D104" i="2"/>
  <c r="D128" i="2"/>
  <c r="D153" i="2"/>
  <c r="D181" i="2"/>
  <c r="D204" i="2"/>
  <c r="D227" i="2"/>
  <c r="D250" i="2"/>
  <c r="D272" i="2"/>
  <c r="D298" i="2"/>
  <c r="D320" i="2"/>
  <c r="D346" i="2"/>
  <c r="D369" i="2"/>
  <c r="D393" i="2"/>
  <c r="D416" i="2"/>
  <c r="D438" i="2"/>
  <c r="D460" i="2"/>
  <c r="D482" i="2"/>
  <c r="D504" i="2"/>
  <c r="D525" i="2"/>
  <c r="D549" i="2"/>
  <c r="D571" i="2"/>
  <c r="D593" i="2"/>
  <c r="D615" i="2"/>
  <c r="D637" i="2"/>
  <c r="D659" i="2"/>
  <c r="D681" i="2"/>
  <c r="D704" i="2"/>
  <c r="D726" i="2"/>
  <c r="D747" i="2"/>
  <c r="D769" i="2"/>
  <c r="D792" i="2"/>
  <c r="D813" i="2"/>
  <c r="D834" i="2"/>
  <c r="D859" i="2"/>
  <c r="D880" i="2"/>
  <c r="D902" i="2"/>
  <c r="D924" i="2"/>
  <c r="D946" i="2"/>
  <c r="C23" i="2"/>
  <c r="K23" i="2" s="1"/>
  <c r="C44" i="2"/>
  <c r="K44" i="2" s="1"/>
  <c r="C68" i="2"/>
  <c r="K68" i="2" s="1"/>
  <c r="C89" i="2"/>
  <c r="K89" i="2" s="1"/>
  <c r="C110" i="2"/>
  <c r="K110" i="2" s="1"/>
  <c r="C134" i="2"/>
  <c r="K134" i="2" s="1"/>
  <c r="C155" i="2"/>
  <c r="K155" i="2" s="1"/>
  <c r="C176" i="2"/>
  <c r="K176" i="2" s="1"/>
  <c r="C198" i="2"/>
  <c r="K198" i="2" s="1"/>
  <c r="C220" i="2"/>
  <c r="K220" i="2" s="1"/>
  <c r="C244" i="2"/>
  <c r="K244" i="2" s="1"/>
  <c r="C265" i="2"/>
  <c r="K265" i="2" s="1"/>
  <c r="C287" i="2"/>
  <c r="K287" i="2" s="1"/>
  <c r="C310" i="2"/>
  <c r="K310" i="2" s="1"/>
  <c r="C332" i="2"/>
  <c r="K332" i="2" s="1"/>
  <c r="C353" i="2"/>
  <c r="K353" i="2" s="1"/>
  <c r="C376" i="2"/>
  <c r="K376" i="2" s="1"/>
  <c r="C398" i="2"/>
  <c r="K398" i="2" s="1"/>
  <c r="C419" i="2"/>
  <c r="K419" i="2" s="1"/>
  <c r="C441" i="2"/>
  <c r="K441" i="2" s="1"/>
  <c r="C461" i="2"/>
  <c r="K461" i="2" s="1"/>
  <c r="C481" i="2"/>
  <c r="K481" i="2" s="1"/>
  <c r="C501" i="2"/>
  <c r="K501" i="2" s="1"/>
  <c r="C521" i="2"/>
  <c r="K521" i="2" s="1"/>
  <c r="C542" i="2"/>
  <c r="K542" i="2" s="1"/>
  <c r="C561" i="2"/>
  <c r="K561" i="2" s="1"/>
  <c r="C580" i="2"/>
  <c r="K580" i="2" s="1"/>
  <c r="C599" i="2"/>
  <c r="K599" i="2" s="1"/>
  <c r="C618" i="2"/>
  <c r="K618" i="2" s="1"/>
  <c r="C636" i="2"/>
  <c r="K636" i="2" s="1"/>
  <c r="C654" i="2"/>
  <c r="K654" i="2" s="1"/>
  <c r="C673" i="2"/>
  <c r="K673" i="2" s="1"/>
  <c r="C691" i="2"/>
  <c r="K691" i="2" s="1"/>
  <c r="C709" i="2"/>
  <c r="K709" i="2" s="1"/>
  <c r="C727" i="2"/>
  <c r="K727" i="2" s="1"/>
  <c r="C745" i="2"/>
  <c r="K745" i="2" s="1"/>
  <c r="C763" i="2"/>
  <c r="K763" i="2" s="1"/>
  <c r="C781" i="2"/>
  <c r="K781" i="2" s="1"/>
  <c r="C799" i="2"/>
  <c r="K799" i="2" s="1"/>
  <c r="C818" i="2"/>
  <c r="K818" i="2" s="1"/>
  <c r="C836" i="2"/>
  <c r="K836" i="2" s="1"/>
  <c r="C854" i="2"/>
  <c r="K854" i="2" s="1"/>
  <c r="C872" i="2"/>
  <c r="K872" i="2" s="1"/>
  <c r="C891" i="2"/>
  <c r="K891" i="2" s="1"/>
  <c r="C909" i="2"/>
  <c r="K909" i="2" s="1"/>
  <c r="C927" i="2"/>
  <c r="K927" i="2" s="1"/>
  <c r="C946" i="2"/>
  <c r="K946" i="2" s="1"/>
  <c r="D7" i="2"/>
  <c r="D30" i="2"/>
  <c r="D54" i="2"/>
  <c r="D79" i="2"/>
  <c r="D105" i="2"/>
  <c r="D130" i="2"/>
  <c r="D154" i="2"/>
  <c r="D182" i="2"/>
  <c r="D205" i="2"/>
  <c r="D229" i="2"/>
  <c r="D251" i="2"/>
  <c r="D275" i="2"/>
  <c r="D299" i="2"/>
  <c r="D321" i="2"/>
  <c r="D347" i="2"/>
  <c r="D370" i="2"/>
  <c r="D394" i="2"/>
  <c r="D417" i="2"/>
  <c r="D440" i="2"/>
  <c r="D461" i="2"/>
  <c r="D483" i="2"/>
  <c r="D505" i="2"/>
  <c r="D527" i="2"/>
  <c r="D551" i="2"/>
  <c r="D573" i="2"/>
  <c r="D594" i="2"/>
  <c r="D616" i="2"/>
  <c r="D638" i="2"/>
  <c r="D661" i="2"/>
  <c r="D683" i="2"/>
  <c r="D705" i="2"/>
  <c r="D727" i="2"/>
  <c r="D749" i="2"/>
  <c r="D770" i="2"/>
  <c r="D793" i="2"/>
  <c r="D814" i="2"/>
  <c r="D835" i="2"/>
  <c r="D860" i="2"/>
  <c r="D881" i="2"/>
  <c r="D904" i="2"/>
  <c r="D926" i="2"/>
  <c r="D947" i="2"/>
  <c r="C24" i="2"/>
  <c r="K24" i="2" s="1"/>
  <c r="C45" i="2"/>
  <c r="K45" i="2" s="1"/>
  <c r="C69" i="2"/>
  <c r="K69" i="2" s="1"/>
  <c r="C90" i="2"/>
  <c r="K90" i="2" s="1"/>
  <c r="C112" i="2"/>
  <c r="K112" i="2" s="1"/>
  <c r="C135" i="2"/>
  <c r="K135" i="2" s="1"/>
  <c r="C156" i="2"/>
  <c r="K156" i="2" s="1"/>
  <c r="C177" i="2"/>
  <c r="K177" i="2" s="1"/>
  <c r="C199" i="2"/>
  <c r="K199" i="2" s="1"/>
  <c r="C223" i="2"/>
  <c r="K223" i="2" s="1"/>
  <c r="C245" i="2"/>
  <c r="K245" i="2" s="1"/>
  <c r="C266" i="2"/>
  <c r="K266" i="2" s="1"/>
  <c r="C289" i="2"/>
  <c r="K289" i="2" s="1"/>
  <c r="C311" i="2"/>
  <c r="K311" i="2" s="1"/>
  <c r="C333" i="2"/>
  <c r="K333" i="2" s="1"/>
  <c r="C356" i="2"/>
  <c r="K356" i="2" s="1"/>
  <c r="C378" i="2"/>
  <c r="K378" i="2" s="1"/>
  <c r="C399" i="2"/>
  <c r="K399" i="2" s="1"/>
  <c r="D32" i="2"/>
  <c r="D63" i="2"/>
  <c r="D94" i="2"/>
  <c r="D124" i="2"/>
  <c r="D160" i="2"/>
  <c r="D187" i="2"/>
  <c r="D214" i="2"/>
  <c r="D245" i="2"/>
  <c r="D270" i="2"/>
  <c r="D304" i="2"/>
  <c r="D332" i="2"/>
  <c r="D359" i="2"/>
  <c r="D389" i="2"/>
  <c r="D419" i="2"/>
  <c r="D445" i="2"/>
  <c r="D473" i="2"/>
  <c r="D499" i="2"/>
  <c r="D528" i="2"/>
  <c r="D556" i="2"/>
  <c r="D581" i="2"/>
  <c r="D608" i="2"/>
  <c r="D634" i="2"/>
  <c r="D665" i="2"/>
  <c r="D690" i="2"/>
  <c r="D717" i="2"/>
  <c r="D744" i="2"/>
  <c r="D774" i="2"/>
  <c r="D800" i="2"/>
  <c r="D827" i="2"/>
  <c r="D851" i="2"/>
  <c r="D883" i="2"/>
  <c r="D909" i="2"/>
  <c r="D936" i="2"/>
  <c r="C15" i="2"/>
  <c r="K15" i="2" s="1"/>
  <c r="C42" i="2"/>
  <c r="K42" i="2" s="1"/>
  <c r="C72" i="2"/>
  <c r="K72" i="2" s="1"/>
  <c r="C97" i="2"/>
  <c r="K97" i="2" s="1"/>
  <c r="C125" i="2"/>
  <c r="K125" i="2" s="1"/>
  <c r="C152" i="2"/>
  <c r="K152" i="2" s="1"/>
  <c r="C180" i="2"/>
  <c r="K180" i="2" s="1"/>
  <c r="C208" i="2"/>
  <c r="K208" i="2" s="1"/>
  <c r="C233" i="2"/>
  <c r="K233" i="2" s="1"/>
  <c r="C260" i="2"/>
  <c r="K260" i="2" s="1"/>
  <c r="C291" i="2"/>
  <c r="K291" i="2" s="1"/>
  <c r="C316" i="2"/>
  <c r="K316" i="2" s="1"/>
  <c r="C343" i="2"/>
  <c r="K343" i="2" s="1"/>
  <c r="C368" i="2"/>
  <c r="K368" i="2" s="1"/>
  <c r="C395" i="2"/>
  <c r="K395" i="2" s="1"/>
  <c r="C424" i="2"/>
  <c r="K424" i="2" s="1"/>
  <c r="C446" i="2"/>
  <c r="K446" i="2" s="1"/>
  <c r="C468" i="2"/>
  <c r="K468" i="2" s="1"/>
  <c r="C494" i="2"/>
  <c r="K494" i="2" s="1"/>
  <c r="C516" i="2"/>
  <c r="K516" i="2" s="1"/>
  <c r="C537" i="2"/>
  <c r="K537" i="2" s="1"/>
  <c r="C562" i="2"/>
  <c r="K562" i="2" s="1"/>
  <c r="C584" i="2"/>
  <c r="K584" i="2" s="1"/>
  <c r="C605" i="2"/>
  <c r="K605" i="2" s="1"/>
  <c r="C626" i="2"/>
  <c r="K626" i="2" s="1"/>
  <c r="C646" i="2"/>
  <c r="K646" i="2" s="1"/>
  <c r="C666" i="2"/>
  <c r="K666" i="2" s="1"/>
  <c r="C687" i="2"/>
  <c r="K687" i="2" s="1"/>
  <c r="C710" i="2"/>
  <c r="K710" i="2" s="1"/>
  <c r="C730" i="2"/>
  <c r="K730" i="2" s="1"/>
  <c r="C750" i="2"/>
  <c r="K750" i="2" s="1"/>
  <c r="C772" i="2"/>
  <c r="K772" i="2" s="1"/>
  <c r="C792" i="2"/>
  <c r="K792" i="2" s="1"/>
  <c r="C812" i="2"/>
  <c r="K812" i="2" s="1"/>
  <c r="C833" i="2"/>
  <c r="K833" i="2" s="1"/>
  <c r="C855" i="2"/>
  <c r="K855" i="2" s="1"/>
  <c r="C876" i="2"/>
  <c r="K876" i="2" s="1"/>
  <c r="C897" i="2"/>
  <c r="K897" i="2" s="1"/>
  <c r="C917" i="2"/>
  <c r="K917" i="2" s="1"/>
  <c r="C937" i="2"/>
  <c r="K937" i="2" s="1"/>
  <c r="D33" i="2"/>
  <c r="D64" i="2"/>
  <c r="D95" i="2"/>
  <c r="D125" i="2"/>
  <c r="D161" i="2"/>
  <c r="D188" i="2"/>
  <c r="D215" i="2"/>
  <c r="D246" i="2"/>
  <c r="D278" i="2"/>
  <c r="D305" i="2"/>
  <c r="D334" i="2"/>
  <c r="D360" i="2"/>
  <c r="D390" i="2"/>
  <c r="D422" i="2"/>
  <c r="D448" i="2"/>
  <c r="D474" i="2"/>
  <c r="D501" i="2"/>
  <c r="D531" i="2"/>
  <c r="D557" i="2"/>
  <c r="D582" i="2"/>
  <c r="D609" i="2"/>
  <c r="D640" i="2"/>
  <c r="D666" i="2"/>
  <c r="D691" i="2"/>
  <c r="D718" i="2"/>
  <c r="D745" i="2"/>
  <c r="D775" i="2"/>
  <c r="D801" i="2"/>
  <c r="D828" i="2"/>
  <c r="D853" i="2"/>
  <c r="D885" i="2"/>
  <c r="D910" i="2"/>
  <c r="D937" i="2"/>
  <c r="C16" i="2"/>
  <c r="K16" i="2" s="1"/>
  <c r="C48" i="2"/>
  <c r="K48" i="2" s="1"/>
  <c r="C73" i="2"/>
  <c r="K73" i="2" s="1"/>
  <c r="C100" i="2"/>
  <c r="K100" i="2" s="1"/>
  <c r="C126" i="2"/>
  <c r="K126" i="2" s="1"/>
  <c r="C153" i="2"/>
  <c r="K153" i="2" s="1"/>
  <c r="C181" i="2"/>
  <c r="K181" i="2" s="1"/>
  <c r="C209" i="2"/>
  <c r="K209" i="2" s="1"/>
  <c r="C234" i="2"/>
  <c r="K234" i="2" s="1"/>
  <c r="C262" i="2"/>
  <c r="K262" i="2" s="1"/>
  <c r="C292" i="2"/>
  <c r="K292" i="2" s="1"/>
  <c r="C317" i="2"/>
  <c r="K317" i="2" s="1"/>
  <c r="C344" i="2"/>
  <c r="K344" i="2" s="1"/>
  <c r="C369" i="2"/>
  <c r="K369" i="2" s="1"/>
  <c r="C400" i="2"/>
  <c r="K400" i="2" s="1"/>
  <c r="C425" i="2"/>
  <c r="K425" i="2" s="1"/>
  <c r="C447" i="2"/>
  <c r="K447" i="2" s="1"/>
  <c r="C473" i="2"/>
  <c r="K473" i="2" s="1"/>
  <c r="C495" i="2"/>
  <c r="K495" i="2" s="1"/>
  <c r="C517" i="2"/>
  <c r="K517" i="2" s="1"/>
  <c r="C539" i="2"/>
  <c r="K539" i="2" s="1"/>
  <c r="C563" i="2"/>
  <c r="K563" i="2" s="1"/>
  <c r="C585" i="2"/>
  <c r="K585" i="2" s="1"/>
  <c r="C606" i="2"/>
  <c r="K606" i="2" s="1"/>
  <c r="C627" i="2"/>
  <c r="K627" i="2" s="1"/>
  <c r="C647" i="2"/>
  <c r="K647" i="2" s="1"/>
  <c r="C667" i="2"/>
  <c r="K667" i="2" s="1"/>
  <c r="C689" i="2"/>
  <c r="K689" i="2" s="1"/>
  <c r="C711" i="2"/>
  <c r="K711" i="2" s="1"/>
  <c r="C731" i="2"/>
  <c r="K731" i="2" s="1"/>
  <c r="C751" i="2"/>
  <c r="K751" i="2" s="1"/>
  <c r="C773" i="2"/>
  <c r="K773" i="2" s="1"/>
  <c r="C793" i="2"/>
  <c r="K793" i="2" s="1"/>
  <c r="C813" i="2"/>
  <c r="K813" i="2" s="1"/>
  <c r="C834" i="2"/>
  <c r="K834" i="2" s="1"/>
  <c r="C857" i="2"/>
  <c r="K857" i="2" s="1"/>
  <c r="C877" i="2"/>
  <c r="K877" i="2" s="1"/>
  <c r="C898" i="2"/>
  <c r="K898" i="2" s="1"/>
  <c r="C918" i="2"/>
  <c r="K918" i="2" s="1"/>
  <c r="C938" i="2"/>
  <c r="K938" i="2" s="1"/>
  <c r="D8" i="2"/>
  <c r="D34" i="2"/>
  <c r="D65" i="2"/>
  <c r="D96" i="2"/>
  <c r="D126" i="2"/>
  <c r="D162" i="2"/>
  <c r="D189" i="2"/>
  <c r="D217" i="2"/>
  <c r="D247" i="2"/>
  <c r="D279" i="2"/>
  <c r="D306" i="2"/>
  <c r="D335" i="2"/>
  <c r="D361" i="2"/>
  <c r="D395" i="2"/>
  <c r="D423" i="2"/>
  <c r="D450" i="2"/>
  <c r="D476" i="2"/>
  <c r="D502" i="2"/>
  <c r="D534" i="2"/>
  <c r="D558" i="2"/>
  <c r="D583" i="2"/>
  <c r="D610" i="2"/>
  <c r="D641" i="2"/>
  <c r="D667" i="2"/>
  <c r="D693" i="2"/>
  <c r="D719" i="2"/>
  <c r="D750" i="2"/>
  <c r="D776" i="2"/>
  <c r="D803" i="2"/>
  <c r="D829" i="2"/>
  <c r="D854" i="2"/>
  <c r="D886" i="2"/>
  <c r="D911" i="2"/>
  <c r="D938" i="2"/>
  <c r="C17" i="2"/>
  <c r="K17" i="2" s="1"/>
  <c r="C49" i="2"/>
  <c r="K49" i="2" s="1"/>
  <c r="C74" i="2"/>
  <c r="K74" i="2" s="1"/>
  <c r="C101" i="2"/>
  <c r="K101" i="2" s="1"/>
  <c r="C127" i="2"/>
  <c r="K127" i="2" s="1"/>
  <c r="C157" i="2"/>
  <c r="K157" i="2" s="1"/>
  <c r="C183" i="2"/>
  <c r="K183" i="2" s="1"/>
  <c r="C211" i="2"/>
  <c r="K211" i="2" s="1"/>
  <c r="C236" i="2"/>
  <c r="K236" i="2" s="1"/>
  <c r="C263" i="2"/>
  <c r="K263" i="2" s="1"/>
  <c r="C293" i="2"/>
  <c r="K293" i="2" s="1"/>
  <c r="C319" i="2"/>
  <c r="K319" i="2" s="1"/>
  <c r="C345" i="2"/>
  <c r="K345" i="2" s="1"/>
  <c r="C373" i="2"/>
  <c r="K373" i="2" s="1"/>
  <c r="C401" i="2"/>
  <c r="K401" i="2" s="1"/>
  <c r="C426" i="2"/>
  <c r="K426" i="2" s="1"/>
  <c r="C448" i="2"/>
  <c r="K448" i="2" s="1"/>
  <c r="C474" i="2"/>
  <c r="K474" i="2" s="1"/>
  <c r="C496" i="2"/>
  <c r="K496" i="2" s="1"/>
  <c r="C518" i="2"/>
  <c r="K518" i="2" s="1"/>
  <c r="C543" i="2"/>
  <c r="K543" i="2" s="1"/>
  <c r="C565" i="2"/>
  <c r="K565" i="2" s="1"/>
  <c r="C587" i="2"/>
  <c r="K587" i="2" s="1"/>
  <c r="C607" i="2"/>
  <c r="K607" i="2" s="1"/>
  <c r="C628" i="2"/>
  <c r="K628" i="2" s="1"/>
  <c r="C648" i="2"/>
  <c r="K648" i="2" s="1"/>
  <c r="C669" i="2"/>
  <c r="K669" i="2" s="1"/>
  <c r="C692" i="2"/>
  <c r="K692" i="2" s="1"/>
  <c r="C712" i="2"/>
  <c r="K712" i="2" s="1"/>
  <c r="C732" i="2"/>
  <c r="K732" i="2" s="1"/>
  <c r="C753" i="2"/>
  <c r="K753" i="2" s="1"/>
  <c r="C774" i="2"/>
  <c r="K774" i="2" s="1"/>
  <c r="C794" i="2"/>
  <c r="K794" i="2" s="1"/>
  <c r="C814" i="2"/>
  <c r="K814" i="2" s="1"/>
  <c r="C837" i="2"/>
  <c r="K837" i="2" s="1"/>
  <c r="C858" i="2"/>
  <c r="K858" i="2" s="1"/>
  <c r="C878" i="2"/>
  <c r="K878" i="2" s="1"/>
  <c r="C899" i="2"/>
  <c r="K899" i="2" s="1"/>
  <c r="C919" i="2"/>
  <c r="K919" i="2" s="1"/>
  <c r="C939" i="2"/>
  <c r="K939" i="2" s="1"/>
  <c r="B14" i="2"/>
  <c r="B36" i="2"/>
  <c r="B56" i="2"/>
  <c r="B76" i="2"/>
  <c r="B98" i="2"/>
  <c r="B118" i="2"/>
  <c r="B138" i="2"/>
  <c r="B159" i="2"/>
  <c r="B181" i="2"/>
  <c r="B202" i="2"/>
  <c r="B223" i="2"/>
  <c r="B243" i="2"/>
  <c r="B263" i="2"/>
  <c r="B283" i="2"/>
  <c r="B305" i="2"/>
  <c r="B327" i="2"/>
  <c r="B347" i="2"/>
  <c r="B368" i="2"/>
  <c r="B389" i="2"/>
  <c r="B409" i="2"/>
  <c r="B430" i="2"/>
  <c r="B450" i="2"/>
  <c r="B473" i="2"/>
  <c r="B494" i="2"/>
  <c r="B514" i="2"/>
  <c r="B534" i="2"/>
  <c r="B554" i="2"/>
  <c r="B576" i="2"/>
  <c r="B596" i="2"/>
  <c r="B618" i="2"/>
  <c r="D40" i="2"/>
  <c r="D76" i="2"/>
  <c r="D115" i="2"/>
  <c r="D150" i="2"/>
  <c r="D192" i="2"/>
  <c r="D230" i="2"/>
  <c r="D264" i="2"/>
  <c r="D296" i="2"/>
  <c r="D336" i="2"/>
  <c r="D374" i="2"/>
  <c r="D405" i="2"/>
  <c r="D441" i="2"/>
  <c r="D472" i="2"/>
  <c r="D510" i="2"/>
  <c r="D540" i="2"/>
  <c r="D575" i="2"/>
  <c r="D606" i="2"/>
  <c r="D645" i="2"/>
  <c r="D673" i="2"/>
  <c r="D709" i="2"/>
  <c r="D739" i="2"/>
  <c r="D777" i="2"/>
  <c r="D809" i="2"/>
  <c r="D844" i="2"/>
  <c r="D872" i="2"/>
  <c r="D907" i="2"/>
  <c r="D941" i="2"/>
  <c r="C31" i="2"/>
  <c r="K31" i="2" s="1"/>
  <c r="C61" i="2"/>
  <c r="K61" i="2" s="1"/>
  <c r="C95" i="2"/>
  <c r="K95" i="2" s="1"/>
  <c r="C131" i="2"/>
  <c r="K131" i="2" s="1"/>
  <c r="C165" i="2"/>
  <c r="K165" i="2" s="1"/>
  <c r="C195" i="2"/>
  <c r="K195" i="2" s="1"/>
  <c r="C230" i="2"/>
  <c r="K230" i="2" s="1"/>
  <c r="C268" i="2"/>
  <c r="K268" i="2" s="1"/>
  <c r="C298" i="2"/>
  <c r="K298" i="2" s="1"/>
  <c r="C328" i="2"/>
  <c r="K328" i="2" s="1"/>
  <c r="C363" i="2"/>
  <c r="K363" i="2" s="1"/>
  <c r="C394" i="2"/>
  <c r="K394" i="2" s="1"/>
  <c r="C429" i="2"/>
  <c r="K429" i="2" s="1"/>
  <c r="C458" i="2"/>
  <c r="K458" i="2" s="1"/>
  <c r="C485" i="2"/>
  <c r="K485" i="2" s="1"/>
  <c r="C514" i="2"/>
  <c r="K514" i="2" s="1"/>
  <c r="C545" i="2"/>
  <c r="K545" i="2" s="1"/>
  <c r="C571" i="2"/>
  <c r="K571" i="2" s="1"/>
  <c r="C596" i="2"/>
  <c r="K596" i="2" s="1"/>
  <c r="C622" i="2"/>
  <c r="K622" i="2" s="1"/>
  <c r="C649" i="2"/>
  <c r="K649" i="2" s="1"/>
  <c r="C676" i="2"/>
  <c r="K676" i="2" s="1"/>
  <c r="C699" i="2"/>
  <c r="K699" i="2" s="1"/>
  <c r="C724" i="2"/>
  <c r="K724" i="2" s="1"/>
  <c r="C749" i="2"/>
  <c r="K749" i="2" s="1"/>
  <c r="C777" i="2"/>
  <c r="K777" i="2" s="1"/>
  <c r="C803" i="2"/>
  <c r="K803" i="2" s="1"/>
  <c r="C827" i="2"/>
  <c r="K827" i="2" s="1"/>
  <c r="C851" i="2"/>
  <c r="K851" i="2" s="1"/>
  <c r="C881" i="2"/>
  <c r="K881" i="2" s="1"/>
  <c r="C904" i="2"/>
  <c r="K904" i="2" s="1"/>
  <c r="C931" i="2"/>
  <c r="K931" i="2" s="1"/>
  <c r="B7" i="2"/>
  <c r="B37" i="2"/>
  <c r="B60" i="2"/>
  <c r="B85" i="2"/>
  <c r="B111" i="2"/>
  <c r="B135" i="2"/>
  <c r="B164" i="2"/>
  <c r="B188" i="2"/>
  <c r="B212" i="2"/>
  <c r="B239" i="2"/>
  <c r="B265" i="2"/>
  <c r="B292" i="2"/>
  <c r="B315" i="2"/>
  <c r="B340" i="2"/>
  <c r="B369" i="2"/>
  <c r="B393" i="2"/>
  <c r="B419" i="2"/>
  <c r="B443" i="2"/>
  <c r="B467" i="2"/>
  <c r="B497" i="2"/>
  <c r="B520" i="2"/>
  <c r="B547" i="2"/>
  <c r="B570" i="2"/>
  <c r="B600" i="2"/>
  <c r="B624" i="2"/>
  <c r="B647" i="2"/>
  <c r="B670" i="2"/>
  <c r="B695" i="2"/>
  <c r="B718" i="2"/>
  <c r="B742" i="2"/>
  <c r="B768" i="2"/>
  <c r="B790" i="2"/>
  <c r="B812" i="2"/>
  <c r="B838" i="2"/>
  <c r="B860" i="2"/>
  <c r="B884" i="2"/>
  <c r="B911" i="2"/>
  <c r="B934" i="2"/>
  <c r="D9" i="2"/>
  <c r="D41" i="2"/>
  <c r="D82" i="2"/>
  <c r="D117" i="2"/>
  <c r="D151" i="2"/>
  <c r="D193" i="2"/>
  <c r="D231" i="2"/>
  <c r="D265" i="2"/>
  <c r="D300" i="2"/>
  <c r="D337" i="2"/>
  <c r="D375" i="2"/>
  <c r="D408" i="2"/>
  <c r="D442" i="2"/>
  <c r="D477" i="2"/>
  <c r="D512" i="2"/>
  <c r="D541" i="2"/>
  <c r="D576" i="2"/>
  <c r="D607" i="2"/>
  <c r="D646" i="2"/>
  <c r="D677" i="2"/>
  <c r="D710" i="2"/>
  <c r="D742" i="2"/>
  <c r="D780" i="2"/>
  <c r="D810" i="2"/>
  <c r="D845" i="2"/>
  <c r="D873" i="2"/>
  <c r="D913" i="2"/>
  <c r="D943" i="2"/>
  <c r="C32" i="2"/>
  <c r="K32" i="2" s="1"/>
  <c r="C62" i="2"/>
  <c r="K62" i="2" s="1"/>
  <c r="C96" i="2"/>
  <c r="K96" i="2" s="1"/>
  <c r="C136" i="2"/>
  <c r="K136" i="2" s="1"/>
  <c r="C168" i="2"/>
  <c r="K168" i="2" s="1"/>
  <c r="C196" i="2"/>
  <c r="K196" i="2" s="1"/>
  <c r="C231" i="2"/>
  <c r="K231" i="2" s="1"/>
  <c r="C270" i="2"/>
  <c r="K270" i="2" s="1"/>
  <c r="C300" i="2"/>
  <c r="K300" i="2" s="1"/>
  <c r="C334" i="2"/>
  <c r="K334" i="2" s="1"/>
  <c r="C364" i="2"/>
  <c r="K364" i="2" s="1"/>
  <c r="C404" i="2"/>
  <c r="K404" i="2" s="1"/>
  <c r="C430" i="2"/>
  <c r="K430" i="2" s="1"/>
  <c r="C459" i="2"/>
  <c r="K459" i="2" s="1"/>
  <c r="C487" i="2"/>
  <c r="K487" i="2" s="1"/>
  <c r="C515" i="2"/>
  <c r="K515" i="2" s="1"/>
  <c r="C547" i="2"/>
  <c r="K547" i="2" s="1"/>
  <c r="C572" i="2"/>
  <c r="K572" i="2" s="1"/>
  <c r="C597" i="2"/>
  <c r="K597" i="2" s="1"/>
  <c r="C623" i="2"/>
  <c r="K623" i="2" s="1"/>
  <c r="C650" i="2"/>
  <c r="K650" i="2" s="1"/>
  <c r="C677" i="2"/>
  <c r="K677" i="2" s="1"/>
  <c r="C700" i="2"/>
  <c r="K700" i="2" s="1"/>
  <c r="C725" i="2"/>
  <c r="K725" i="2" s="1"/>
  <c r="C755" i="2"/>
  <c r="K755" i="2" s="1"/>
  <c r="C778" i="2"/>
  <c r="K778" i="2" s="1"/>
  <c r="C804" i="2"/>
  <c r="K804" i="2" s="1"/>
  <c r="C828" i="2"/>
  <c r="K828" i="2" s="1"/>
  <c r="C852" i="2"/>
  <c r="K852" i="2" s="1"/>
  <c r="C882" i="2"/>
  <c r="K882" i="2" s="1"/>
  <c r="C905" i="2"/>
  <c r="K905" i="2" s="1"/>
  <c r="C932" i="2"/>
  <c r="K932" i="2" s="1"/>
  <c r="B8" i="2"/>
  <c r="B38" i="2"/>
  <c r="B62" i="2"/>
  <c r="B86" i="2"/>
  <c r="B112" i="2"/>
  <c r="B139" i="2"/>
  <c r="B166" i="2"/>
  <c r="B190" i="2"/>
  <c r="B213" i="2"/>
  <c r="B240" i="2"/>
  <c r="B266" i="2"/>
  <c r="B293" i="2"/>
  <c r="B316" i="2"/>
  <c r="B341" i="2"/>
  <c r="B371" i="2"/>
  <c r="B394" i="2"/>
  <c r="B420" i="2"/>
  <c r="B444" i="2"/>
  <c r="B474" i="2"/>
  <c r="B498" i="2"/>
  <c r="B521" i="2"/>
  <c r="B548" i="2"/>
  <c r="B571" i="2"/>
  <c r="B601" i="2"/>
  <c r="B625" i="2"/>
  <c r="B648" i="2"/>
  <c r="B673" i="2"/>
  <c r="B696" i="2"/>
  <c r="B721" i="2"/>
  <c r="B746" i="2"/>
  <c r="B769" i="2"/>
  <c r="B791" i="2"/>
  <c r="B815" i="2"/>
  <c r="B839" i="2"/>
  <c r="B862" i="2"/>
  <c r="B887" i="2"/>
  <c r="B912" i="2"/>
  <c r="B935" i="2"/>
  <c r="D10" i="2"/>
  <c r="D44" i="2"/>
  <c r="D83" i="2"/>
  <c r="D118" i="2"/>
  <c r="D163" i="2"/>
  <c r="D194" i="2"/>
  <c r="D232" i="2"/>
  <c r="D266" i="2"/>
  <c r="D301" i="2"/>
  <c r="D338" i="2"/>
  <c r="D376" i="2"/>
  <c r="D409" i="2"/>
  <c r="D443" i="2"/>
  <c r="D478" i="2"/>
  <c r="D513" i="2"/>
  <c r="D542" i="2"/>
  <c r="D577" i="2"/>
  <c r="D611" i="2"/>
  <c r="D647" i="2"/>
  <c r="D678" i="2"/>
  <c r="D711" i="2"/>
  <c r="D743" i="2"/>
  <c r="D781" i="2"/>
  <c r="D811" i="2"/>
  <c r="D846" i="2"/>
  <c r="D875" i="2"/>
  <c r="D914" i="2"/>
  <c r="C4" i="2"/>
  <c r="K4" i="2" s="1"/>
  <c r="C33" i="2"/>
  <c r="K33" i="2" s="1"/>
  <c r="C63" i="2"/>
  <c r="K63" i="2" s="1"/>
  <c r="C103" i="2"/>
  <c r="K103" i="2" s="1"/>
  <c r="C137" i="2"/>
  <c r="K137" i="2" s="1"/>
  <c r="C169" i="2"/>
  <c r="K169" i="2" s="1"/>
  <c r="C200" i="2"/>
  <c r="K200" i="2" s="1"/>
  <c r="C232" i="2"/>
  <c r="K232" i="2" s="1"/>
  <c r="C271" i="2"/>
  <c r="K271" i="2" s="1"/>
  <c r="C301" i="2"/>
  <c r="K301" i="2" s="1"/>
  <c r="C335" i="2"/>
  <c r="K335" i="2" s="1"/>
  <c r="C365" i="2"/>
  <c r="K365" i="2" s="1"/>
  <c r="C405" i="2"/>
  <c r="K405" i="2" s="1"/>
  <c r="C432" i="2"/>
  <c r="K432" i="2" s="1"/>
  <c r="C462" i="2"/>
  <c r="K462" i="2" s="1"/>
  <c r="C490" i="2"/>
  <c r="K490" i="2" s="1"/>
  <c r="C519" i="2"/>
  <c r="K519" i="2" s="1"/>
  <c r="C548" i="2"/>
  <c r="K548" i="2" s="1"/>
  <c r="C573" i="2"/>
  <c r="K573" i="2" s="1"/>
  <c r="C601" i="2"/>
  <c r="K601" i="2" s="1"/>
  <c r="C625" i="2"/>
  <c r="K625" i="2" s="1"/>
  <c r="C652" i="2"/>
  <c r="K652" i="2" s="1"/>
  <c r="C678" i="2"/>
  <c r="K678" i="2" s="1"/>
  <c r="C701" i="2"/>
  <c r="K701" i="2" s="1"/>
  <c r="C728" i="2"/>
  <c r="K728" i="2" s="1"/>
  <c r="C756" i="2"/>
  <c r="K756" i="2" s="1"/>
  <c r="C779" i="2"/>
  <c r="K779" i="2" s="1"/>
  <c r="C806" i="2"/>
  <c r="K806" i="2" s="1"/>
  <c r="C829" i="2"/>
  <c r="K829" i="2" s="1"/>
  <c r="C859" i="2"/>
  <c r="K859" i="2" s="1"/>
  <c r="C883" i="2"/>
  <c r="K883" i="2" s="1"/>
  <c r="C906" i="2"/>
  <c r="K906" i="2" s="1"/>
  <c r="C933" i="2"/>
  <c r="K933" i="2" s="1"/>
  <c r="B9" i="2"/>
  <c r="B39" i="2"/>
  <c r="B64" i="2"/>
  <c r="B87" i="2"/>
  <c r="B113" i="2"/>
  <c r="B140" i="2"/>
  <c r="B167" i="2"/>
  <c r="B191" i="2"/>
  <c r="B214" i="2"/>
  <c r="B244" i="2"/>
  <c r="B268" i="2"/>
  <c r="B294" i="2"/>
  <c r="B318" i="2"/>
  <c r="B342" i="2"/>
  <c r="B372" i="2"/>
  <c r="B395" i="2"/>
  <c r="B422" i="2"/>
  <c r="B446" i="2"/>
  <c r="B475" i="2"/>
  <c r="B499" i="2"/>
  <c r="B522" i="2"/>
  <c r="B549" i="2"/>
  <c r="B577" i="2"/>
  <c r="B602" i="2"/>
  <c r="B627" i="2"/>
  <c r="B649" i="2"/>
  <c r="B674" i="2"/>
  <c r="B697" i="2"/>
  <c r="B722" i="2"/>
  <c r="B747" i="2"/>
  <c r="B770" i="2"/>
  <c r="B792" i="2"/>
  <c r="B816" i="2"/>
  <c r="B840" i="2"/>
  <c r="B863" i="2"/>
  <c r="B888" i="2"/>
  <c r="B913" i="2"/>
  <c r="B936" i="2"/>
  <c r="D11" i="2"/>
  <c r="D45" i="2"/>
  <c r="D85" i="2"/>
  <c r="D121" i="2"/>
  <c r="D165" i="2"/>
  <c r="D195" i="2"/>
  <c r="D233" i="2"/>
  <c r="D267" i="2"/>
  <c r="D307" i="2"/>
  <c r="D339" i="2"/>
  <c r="D377" i="2"/>
  <c r="D411" i="2"/>
  <c r="D444" i="2"/>
  <c r="D479" i="2"/>
  <c r="D514" i="2"/>
  <c r="D543" i="2"/>
  <c r="D578" i="2"/>
  <c r="D617" i="2"/>
  <c r="D648" i="2"/>
  <c r="D679" i="2"/>
  <c r="D713" i="2"/>
  <c r="D751" i="2"/>
  <c r="D782" i="2"/>
  <c r="D815" i="2"/>
  <c r="D847" i="2"/>
  <c r="D878" i="2"/>
  <c r="D917" i="2"/>
  <c r="C5" i="2"/>
  <c r="K5" i="2" s="1"/>
  <c r="C35" i="2"/>
  <c r="K35" i="2" s="1"/>
  <c r="C70" i="2"/>
  <c r="K70" i="2" s="1"/>
  <c r="C104" i="2"/>
  <c r="K104" i="2" s="1"/>
  <c r="C138" i="2"/>
  <c r="K138" i="2" s="1"/>
  <c r="C170" i="2"/>
  <c r="K170" i="2" s="1"/>
  <c r="C204" i="2"/>
  <c r="K204" i="2" s="1"/>
  <c r="C237" i="2"/>
  <c r="K237" i="2" s="1"/>
  <c r="C272" i="2"/>
  <c r="K272" i="2" s="1"/>
  <c r="C302" i="2"/>
  <c r="K302" i="2" s="1"/>
  <c r="C336" i="2"/>
  <c r="K336" i="2" s="1"/>
  <c r="C367" i="2"/>
  <c r="K367" i="2" s="1"/>
  <c r="C407" i="2"/>
  <c r="K407" i="2" s="1"/>
  <c r="C434" i="2"/>
  <c r="K434" i="2" s="1"/>
  <c r="C463" i="2"/>
  <c r="K463" i="2" s="1"/>
  <c r="C492" i="2"/>
  <c r="K492" i="2" s="1"/>
  <c r="C523" i="2"/>
  <c r="K523" i="2" s="1"/>
  <c r="C549" i="2"/>
  <c r="K549" i="2" s="1"/>
  <c r="C574" i="2"/>
  <c r="K574" i="2" s="1"/>
  <c r="C602" i="2"/>
  <c r="K602" i="2" s="1"/>
  <c r="C629" i="2"/>
  <c r="K629" i="2" s="1"/>
  <c r="C655" i="2"/>
  <c r="K655" i="2" s="1"/>
  <c r="C679" i="2"/>
  <c r="K679" i="2" s="1"/>
  <c r="C703" i="2"/>
  <c r="K703" i="2" s="1"/>
  <c r="C729" i="2"/>
  <c r="K729" i="2" s="1"/>
  <c r="C757" i="2"/>
  <c r="K757" i="2" s="1"/>
  <c r="C782" i="2"/>
  <c r="K782" i="2" s="1"/>
  <c r="C807" i="2"/>
  <c r="K807" i="2" s="1"/>
  <c r="C830" i="2"/>
  <c r="K830" i="2" s="1"/>
  <c r="C860" i="2"/>
  <c r="K860" i="2" s="1"/>
  <c r="C884" i="2"/>
  <c r="K884" i="2" s="1"/>
  <c r="C910" i="2"/>
  <c r="K910" i="2" s="1"/>
  <c r="C934" i="2"/>
  <c r="K934" i="2" s="1"/>
  <c r="B15" i="2"/>
  <c r="B40" i="2"/>
  <c r="B65" i="2"/>
  <c r="B90" i="2"/>
  <c r="B115" i="2"/>
  <c r="B142" i="2"/>
  <c r="B168" i="2"/>
  <c r="B192" i="2"/>
  <c r="B218" i="2"/>
  <c r="B245" i="2"/>
  <c r="B270" i="2"/>
  <c r="B295" i="2"/>
  <c r="B320" i="2"/>
  <c r="B348" i="2"/>
  <c r="B373" i="2"/>
  <c r="B396" i="2"/>
  <c r="B423" i="2"/>
  <c r="B447" i="2"/>
  <c r="B476" i="2"/>
  <c r="B500" i="2"/>
  <c r="B524" i="2"/>
  <c r="B550" i="2"/>
  <c r="B578" i="2"/>
  <c r="B603" i="2"/>
  <c r="B628" i="2"/>
  <c r="B650" i="2"/>
  <c r="B675" i="2"/>
  <c r="B700" i="2"/>
  <c r="B723" i="2"/>
  <c r="B748" i="2"/>
  <c r="B771" i="2"/>
  <c r="B793" i="2"/>
  <c r="B819" i="2"/>
  <c r="B841" i="2"/>
  <c r="B867" i="2"/>
  <c r="B891" i="2"/>
  <c r="B914" i="2"/>
  <c r="B937" i="2"/>
  <c r="D12" i="2"/>
  <c r="D48" i="2"/>
  <c r="D86" i="2"/>
  <c r="D122" i="2"/>
  <c r="D167" i="2"/>
  <c r="D198" i="2"/>
  <c r="D234" i="2"/>
  <c r="D268" i="2"/>
  <c r="D309" i="2"/>
  <c r="D341" i="2"/>
  <c r="D378" i="2"/>
  <c r="D412" i="2"/>
  <c r="D451" i="2"/>
  <c r="D485" i="2"/>
  <c r="D517" i="2"/>
  <c r="D544" i="2"/>
  <c r="D579" i="2"/>
  <c r="D619" i="2"/>
  <c r="D649" i="2"/>
  <c r="D684" i="2"/>
  <c r="D714" i="2"/>
  <c r="D752" i="2"/>
  <c r="D783" i="2"/>
  <c r="D816" i="2"/>
  <c r="D848" i="2"/>
  <c r="D887" i="2"/>
  <c r="D918" i="2"/>
  <c r="C6" i="2"/>
  <c r="K6" i="2" s="1"/>
  <c r="C36" i="2"/>
  <c r="K36" i="2" s="1"/>
  <c r="C71" i="2"/>
  <c r="K71" i="2" s="1"/>
  <c r="C106" i="2"/>
  <c r="K106" i="2" s="1"/>
  <c r="C139" i="2"/>
  <c r="K139" i="2" s="1"/>
  <c r="C171" i="2"/>
  <c r="K171" i="2" s="1"/>
  <c r="C205" i="2"/>
  <c r="K205" i="2" s="1"/>
  <c r="C238" i="2"/>
  <c r="K238" i="2" s="1"/>
  <c r="C273" i="2"/>
  <c r="K273" i="2" s="1"/>
  <c r="C304" i="2"/>
  <c r="K304" i="2" s="1"/>
  <c r="C340" i="2"/>
  <c r="K340" i="2" s="1"/>
  <c r="C374" i="2"/>
  <c r="K374" i="2" s="1"/>
  <c r="C408" i="2"/>
  <c r="K408" i="2" s="1"/>
  <c r="C435" i="2"/>
  <c r="K435" i="2" s="1"/>
  <c r="C464" i="2"/>
  <c r="K464" i="2" s="1"/>
  <c r="C493" i="2"/>
  <c r="K493" i="2" s="1"/>
  <c r="C525" i="2"/>
  <c r="K525" i="2" s="1"/>
  <c r="C550" i="2"/>
  <c r="K550" i="2" s="1"/>
  <c r="C576" i="2"/>
  <c r="K576" i="2" s="1"/>
  <c r="C603" i="2"/>
  <c r="K603" i="2" s="1"/>
  <c r="C630" i="2"/>
  <c r="K630" i="2" s="1"/>
  <c r="C657" i="2"/>
  <c r="K657" i="2" s="1"/>
  <c r="C680" i="2"/>
  <c r="K680" i="2" s="1"/>
  <c r="C705" i="2"/>
  <c r="K705" i="2" s="1"/>
  <c r="C733" i="2"/>
  <c r="K733" i="2" s="1"/>
  <c r="C758" i="2"/>
  <c r="K758" i="2" s="1"/>
  <c r="C783" i="2"/>
  <c r="K783" i="2" s="1"/>
  <c r="C808" i="2"/>
  <c r="K808" i="2" s="1"/>
  <c r="C831" i="2"/>
  <c r="K831" i="2" s="1"/>
  <c r="C861" i="2"/>
  <c r="K861" i="2" s="1"/>
  <c r="C885" i="2"/>
  <c r="K885" i="2" s="1"/>
  <c r="C911" i="2"/>
  <c r="K911" i="2" s="1"/>
  <c r="C935" i="2"/>
  <c r="K935" i="2" s="1"/>
  <c r="B18" i="2"/>
  <c r="B41" i="2"/>
  <c r="B66" i="2"/>
  <c r="B91" i="2"/>
  <c r="B119" i="2"/>
  <c r="B145" i="2"/>
  <c r="B169" i="2"/>
  <c r="B193" i="2"/>
  <c r="B219" i="2"/>
  <c r="B246" i="2"/>
  <c r="B273" i="2"/>
  <c r="B296" i="2"/>
  <c r="B321" i="2"/>
  <c r="B350" i="2"/>
  <c r="B374" i="2"/>
  <c r="B400" i="2"/>
  <c r="B424" i="2"/>
  <c r="B451" i="2"/>
  <c r="B478" i="2"/>
  <c r="B501" i="2"/>
  <c r="B528" i="2"/>
  <c r="B551" i="2"/>
  <c r="B579" i="2"/>
  <c r="B604" i="2"/>
  <c r="B629" i="2"/>
  <c r="B651" i="2"/>
  <c r="B676" i="2"/>
  <c r="B702" i="2"/>
  <c r="B724" i="2"/>
  <c r="B750" i="2"/>
  <c r="B772" i="2"/>
  <c r="B794" i="2"/>
  <c r="B820" i="2"/>
  <c r="B842" i="2"/>
  <c r="B868" i="2"/>
  <c r="B892" i="2"/>
  <c r="B915" i="2"/>
  <c r="B938" i="2"/>
  <c r="D13" i="2"/>
  <c r="D49" i="2"/>
  <c r="D87" i="2"/>
  <c r="D131" i="2"/>
  <c r="D168" i="2"/>
  <c r="D201" i="2"/>
  <c r="D236" i="2"/>
  <c r="D269" i="2"/>
  <c r="D310" i="2"/>
  <c r="D349" i="2"/>
  <c r="D380" i="2"/>
  <c r="D414" i="2"/>
  <c r="D453" i="2"/>
  <c r="D486" i="2"/>
  <c r="D518" i="2"/>
  <c r="D553" i="2"/>
  <c r="D587" i="2"/>
  <c r="D620" i="2"/>
  <c r="D650" i="2"/>
  <c r="D685" i="2"/>
  <c r="D715" i="2"/>
  <c r="D753" i="2"/>
  <c r="D785" i="2"/>
  <c r="D818" i="2"/>
  <c r="D849" i="2"/>
  <c r="D888" i="2"/>
  <c r="D919" i="2"/>
  <c r="C7" i="2"/>
  <c r="K7" i="2" s="1"/>
  <c r="C37" i="2"/>
  <c r="K37" i="2" s="1"/>
  <c r="C76" i="2"/>
  <c r="K76" i="2" s="1"/>
  <c r="C107" i="2"/>
  <c r="K107" i="2" s="1"/>
  <c r="C140" i="2"/>
  <c r="K140" i="2" s="1"/>
  <c r="C172" i="2"/>
  <c r="K172" i="2" s="1"/>
  <c r="C207" i="2"/>
  <c r="K207" i="2" s="1"/>
  <c r="C240" i="2"/>
  <c r="K240" i="2" s="1"/>
  <c r="C275" i="2"/>
  <c r="K275" i="2" s="1"/>
  <c r="C305" i="2"/>
  <c r="K305" i="2" s="1"/>
  <c r="C341" i="2"/>
  <c r="K341" i="2" s="1"/>
  <c r="C379" i="2"/>
  <c r="K379" i="2" s="1"/>
  <c r="C409" i="2"/>
  <c r="K409" i="2" s="1"/>
  <c r="C436" i="2"/>
  <c r="K436" i="2" s="1"/>
  <c r="C465" i="2"/>
  <c r="K465" i="2" s="1"/>
  <c r="C497" i="2"/>
  <c r="K497" i="2" s="1"/>
  <c r="C526" i="2"/>
  <c r="K526" i="2" s="1"/>
  <c r="C551" i="2"/>
  <c r="K551" i="2" s="1"/>
  <c r="C577" i="2"/>
  <c r="K577" i="2" s="1"/>
  <c r="C604" i="2"/>
  <c r="K604" i="2" s="1"/>
  <c r="C631" i="2"/>
  <c r="K631" i="2" s="1"/>
  <c r="C658" i="2"/>
  <c r="K658" i="2" s="1"/>
  <c r="C681" i="2"/>
  <c r="K681" i="2" s="1"/>
  <c r="C706" i="2"/>
  <c r="K706" i="2" s="1"/>
  <c r="C734" i="2"/>
  <c r="K734" i="2" s="1"/>
  <c r="C759" i="2"/>
  <c r="K759" i="2" s="1"/>
  <c r="C785" i="2"/>
  <c r="K785" i="2" s="1"/>
  <c r="C809" i="2"/>
  <c r="K809" i="2" s="1"/>
  <c r="C838" i="2"/>
  <c r="K838" i="2" s="1"/>
  <c r="C862" i="2"/>
  <c r="K862" i="2" s="1"/>
  <c r="C886" i="2"/>
  <c r="K886" i="2" s="1"/>
  <c r="C913" i="2"/>
  <c r="K913" i="2" s="1"/>
  <c r="C936" i="2"/>
  <c r="K936" i="2" s="1"/>
  <c r="B19" i="2"/>
  <c r="B42" i="2"/>
  <c r="B67" i="2"/>
  <c r="B92" i="2"/>
  <c r="B120" i="2"/>
  <c r="B146" i="2"/>
  <c r="B170" i="2"/>
  <c r="B194" i="2"/>
  <c r="B224" i="2"/>
  <c r="B247" i="2"/>
  <c r="B274" i="2"/>
  <c r="B297" i="2"/>
  <c r="B322" i="2"/>
  <c r="B351" i="2"/>
  <c r="B375" i="2"/>
  <c r="B401" i="2"/>
  <c r="B425" i="2"/>
  <c r="B454" i="2"/>
  <c r="B479" i="2"/>
  <c r="B502" i="2"/>
  <c r="B529" i="2"/>
  <c r="B555" i="2"/>
  <c r="B582" i="2"/>
  <c r="B606" i="2"/>
  <c r="B630" i="2"/>
  <c r="B655" i="2"/>
  <c r="B680" i="2"/>
  <c r="B703" i="2"/>
  <c r="B727" i="2"/>
  <c r="B751" i="2"/>
  <c r="B773" i="2"/>
  <c r="B795" i="2"/>
  <c r="B821" i="2"/>
  <c r="B846" i="2"/>
  <c r="B869" i="2"/>
  <c r="B894" i="2"/>
  <c r="B917" i="2"/>
  <c r="B939" i="2"/>
  <c r="D14" i="2"/>
  <c r="D50" i="2"/>
  <c r="D88" i="2"/>
  <c r="D133" i="2"/>
  <c r="D169" i="2"/>
  <c r="D206" i="2"/>
  <c r="D237" i="2"/>
  <c r="D280" i="2"/>
  <c r="D313" i="2"/>
  <c r="D350" i="2"/>
  <c r="D381" i="2"/>
  <c r="D418" i="2"/>
  <c r="D454" i="2"/>
  <c r="D487" i="2"/>
  <c r="D519" i="2"/>
  <c r="D554" i="2"/>
  <c r="D588" i="2"/>
  <c r="D622" i="2"/>
  <c r="D651" i="2"/>
  <c r="D687" i="2"/>
  <c r="D722" i="2"/>
  <c r="D755" i="2"/>
  <c r="D786" i="2"/>
  <c r="D822" i="2"/>
  <c r="D850" i="2"/>
  <c r="D889" i="2"/>
  <c r="D920" i="2"/>
  <c r="C9" i="2"/>
  <c r="K9" i="2" s="1"/>
  <c r="C38" i="2"/>
  <c r="K38" i="2" s="1"/>
  <c r="C77" i="2"/>
  <c r="K77" i="2" s="1"/>
  <c r="C108" i="2"/>
  <c r="K108" i="2" s="1"/>
  <c r="C141" i="2"/>
  <c r="K141" i="2" s="1"/>
  <c r="C173" i="2"/>
  <c r="K173" i="2" s="1"/>
  <c r="C212" i="2"/>
  <c r="K212" i="2" s="1"/>
  <c r="C246" i="2"/>
  <c r="K246" i="2" s="1"/>
  <c r="C277" i="2"/>
  <c r="K277" i="2" s="1"/>
  <c r="C307" i="2"/>
  <c r="K307" i="2" s="1"/>
  <c r="C342" i="2"/>
  <c r="K342" i="2" s="1"/>
  <c r="C380" i="2"/>
  <c r="K380" i="2" s="1"/>
  <c r="C410" i="2"/>
  <c r="K410" i="2" s="1"/>
  <c r="C439" i="2"/>
  <c r="K439" i="2" s="1"/>
  <c r="C466" i="2"/>
  <c r="K466" i="2" s="1"/>
  <c r="C498" i="2"/>
  <c r="K498" i="2" s="1"/>
  <c r="C527" i="2"/>
  <c r="K527" i="2" s="1"/>
  <c r="C552" i="2"/>
  <c r="K552" i="2" s="1"/>
  <c r="C578" i="2"/>
  <c r="K578" i="2" s="1"/>
  <c r="C609" i="2"/>
  <c r="K609" i="2" s="1"/>
  <c r="C632" i="2"/>
  <c r="K632" i="2" s="1"/>
  <c r="C659" i="2"/>
  <c r="K659" i="2" s="1"/>
  <c r="C682" i="2"/>
  <c r="K682" i="2" s="1"/>
  <c r="C707" i="2"/>
  <c r="K707" i="2" s="1"/>
  <c r="C735" i="2"/>
  <c r="K735" i="2" s="1"/>
  <c r="C760" i="2"/>
  <c r="K760" i="2" s="1"/>
  <c r="C786" i="2"/>
  <c r="K786" i="2" s="1"/>
  <c r="C810" i="2"/>
  <c r="K810" i="2" s="1"/>
  <c r="C840" i="2"/>
  <c r="K840" i="2" s="1"/>
  <c r="C863" i="2"/>
  <c r="K863" i="2" s="1"/>
  <c r="C887" i="2"/>
  <c r="K887" i="2" s="1"/>
  <c r="C914" i="2"/>
  <c r="K914" i="2" s="1"/>
  <c r="C940" i="2"/>
  <c r="K940" i="2" s="1"/>
  <c r="B20" i="2"/>
  <c r="B43" i="2"/>
  <c r="B68" i="2"/>
  <c r="B94" i="2"/>
  <c r="B121" i="2"/>
  <c r="B147" i="2"/>
  <c r="B171" i="2"/>
  <c r="B195" i="2"/>
  <c r="B225" i="2"/>
  <c r="B248" i="2"/>
  <c r="B275" i="2"/>
  <c r="B298" i="2"/>
  <c r="B328" i="2"/>
  <c r="B352" i="2"/>
  <c r="B376" i="2"/>
  <c r="B402" i="2"/>
  <c r="B426" i="2"/>
  <c r="B456" i="2"/>
  <c r="B480" i="2"/>
  <c r="B503" i="2"/>
  <c r="B530" i="2"/>
  <c r="B556" i="2"/>
  <c r="B583" i="2"/>
  <c r="B607" i="2"/>
  <c r="B631" i="2"/>
  <c r="B656" i="2"/>
  <c r="B681" i="2"/>
  <c r="B704" i="2"/>
  <c r="B729" i="2"/>
  <c r="B752" i="2"/>
  <c r="B774" i="2"/>
  <c r="B798" i="2"/>
  <c r="B822" i="2"/>
  <c r="B847" i="2"/>
  <c r="B870" i="2"/>
  <c r="B918" i="2"/>
  <c r="B876" i="2"/>
  <c r="B832" i="2"/>
  <c r="B788" i="2"/>
  <c r="B753" i="2"/>
  <c r="B709" i="2"/>
  <c r="B664" i="2"/>
  <c r="B620" i="2"/>
  <c r="B569" i="2"/>
  <c r="B535" i="2"/>
  <c r="B484" i="2"/>
  <c r="B439" i="2"/>
  <c r="B391" i="2"/>
  <c r="B354" i="2"/>
  <c r="B306" i="2"/>
  <c r="B257" i="2"/>
  <c r="B209" i="2"/>
  <c r="B163" i="2"/>
  <c r="B123" i="2"/>
  <c r="B78" i="2"/>
  <c r="B26" i="2"/>
  <c r="C929" i="2"/>
  <c r="K929" i="2" s="1"/>
  <c r="C888" i="2"/>
  <c r="K888" i="2" s="1"/>
  <c r="C843" i="2"/>
  <c r="K843" i="2" s="1"/>
  <c r="C795" i="2"/>
  <c r="K795" i="2" s="1"/>
  <c r="C746" i="2"/>
  <c r="K746" i="2" s="1"/>
  <c r="C698" i="2"/>
  <c r="K698" i="2" s="1"/>
  <c r="C661" i="2"/>
  <c r="K661" i="2" s="1"/>
  <c r="C613" i="2"/>
  <c r="K613" i="2" s="1"/>
  <c r="C566" i="2"/>
  <c r="K566" i="2" s="1"/>
  <c r="C512" i="2"/>
  <c r="K512" i="2" s="1"/>
  <c r="C467" i="2"/>
  <c r="K467" i="2" s="1"/>
  <c r="C414" i="2"/>
  <c r="K414" i="2" s="1"/>
  <c r="C357" i="2"/>
  <c r="K357" i="2" s="1"/>
  <c r="C295" i="2"/>
  <c r="K295" i="2" s="1"/>
  <c r="C229" i="2"/>
  <c r="K229" i="2" s="1"/>
  <c r="C179" i="2"/>
  <c r="K179" i="2" s="1"/>
  <c r="C118" i="2"/>
  <c r="K118" i="2" s="1"/>
  <c r="C55" i="2"/>
  <c r="K55" i="2" s="1"/>
  <c r="D939" i="2"/>
  <c r="D890" i="2"/>
  <c r="D826" i="2"/>
  <c r="D763" i="2"/>
  <c r="D700" i="2"/>
  <c r="D642" i="2"/>
  <c r="D590" i="2"/>
  <c r="D523" i="2"/>
  <c r="D465" i="2"/>
  <c r="D401" i="2"/>
  <c r="D351" i="2"/>
  <c r="D285" i="2"/>
  <c r="D213" i="2"/>
  <c r="D145" i="2"/>
  <c r="D74" i="2"/>
  <c r="D16" i="2"/>
  <c r="B910" i="2"/>
  <c r="B875" i="2"/>
  <c r="B830" i="2"/>
  <c r="B787" i="2"/>
  <c r="B741" i="2"/>
  <c r="B706" i="2"/>
  <c r="B663" i="2"/>
  <c r="B619" i="2"/>
  <c r="B568" i="2"/>
  <c r="B531" i="2"/>
  <c r="B483" i="2"/>
  <c r="B437" i="2"/>
  <c r="B390" i="2"/>
  <c r="B339" i="2"/>
  <c r="B300" i="2"/>
  <c r="B256" i="2"/>
  <c r="B208" i="2"/>
  <c r="B160" i="2"/>
  <c r="B122" i="2"/>
  <c r="B73" i="2"/>
  <c r="B25" i="2"/>
  <c r="C925" i="2"/>
  <c r="K925" i="2" s="1"/>
  <c r="C879" i="2"/>
  <c r="K879" i="2" s="1"/>
  <c r="C842" i="2"/>
  <c r="K842" i="2" s="1"/>
  <c r="C791" i="2"/>
  <c r="K791" i="2" s="1"/>
  <c r="C743" i="2"/>
  <c r="K743" i="2" s="1"/>
  <c r="C697" i="2"/>
  <c r="K697" i="2" s="1"/>
  <c r="C660" i="2"/>
  <c r="K660" i="2" s="1"/>
  <c r="C612" i="2"/>
  <c r="K612" i="2" s="1"/>
  <c r="C559" i="2"/>
  <c r="K559" i="2" s="1"/>
  <c r="C511" i="2"/>
  <c r="K511" i="2" s="1"/>
  <c r="C457" i="2"/>
  <c r="K457" i="2" s="1"/>
  <c r="C413" i="2"/>
  <c r="K413" i="2" s="1"/>
  <c r="C351" i="2"/>
  <c r="K351" i="2" s="1"/>
  <c r="C284" i="2"/>
  <c r="K284" i="2" s="1"/>
  <c r="C228" i="2"/>
  <c r="K228" i="2" s="1"/>
  <c r="C174" i="2"/>
  <c r="K174" i="2" s="1"/>
  <c r="C117" i="2"/>
  <c r="K117" i="2" s="1"/>
  <c r="C54" i="2"/>
  <c r="K54" i="2" s="1"/>
  <c r="D934" i="2"/>
  <c r="D871" i="2"/>
  <c r="D825" i="2"/>
  <c r="D762" i="2"/>
  <c r="D699" i="2"/>
  <c r="D632" i="2"/>
  <c r="D589" i="2"/>
  <c r="D522" i="2"/>
  <c r="D463" i="2"/>
  <c r="D400" i="2"/>
  <c r="D331" i="2"/>
  <c r="D284" i="2"/>
  <c r="D211" i="2"/>
  <c r="D144" i="2"/>
  <c r="D73" i="2"/>
  <c r="D15" i="2"/>
  <c r="B947" i="2"/>
  <c r="B904" i="2"/>
  <c r="B874" i="2"/>
  <c r="B828" i="2"/>
  <c r="B786" i="2"/>
  <c r="B738" i="2"/>
  <c r="B705" i="2"/>
  <c r="B662" i="2"/>
  <c r="B613" i="2"/>
  <c r="B567" i="2"/>
  <c r="B519" i="2"/>
  <c r="B482" i="2"/>
  <c r="B436" i="2"/>
  <c r="B385" i="2"/>
  <c r="B338" i="2"/>
  <c r="B299" i="2"/>
  <c r="B255" i="2"/>
  <c r="B207" i="2"/>
  <c r="B155" i="2"/>
  <c r="B110" i="2"/>
  <c r="B72" i="2"/>
  <c r="B24" i="2"/>
  <c r="C923" i="2"/>
  <c r="K923" i="2" s="1"/>
  <c r="C875" i="2"/>
  <c r="K875" i="2" s="1"/>
  <c r="C841" i="2"/>
  <c r="K841" i="2" s="1"/>
  <c r="C790" i="2"/>
  <c r="K790" i="2" s="1"/>
  <c r="C742" i="2"/>
  <c r="K742" i="2" s="1"/>
  <c r="C696" i="2"/>
  <c r="K696" i="2" s="1"/>
  <c r="C645" i="2"/>
  <c r="K645" i="2" s="1"/>
  <c r="C611" i="2"/>
  <c r="K611" i="2" s="1"/>
  <c r="C557" i="2"/>
  <c r="K557" i="2" s="1"/>
  <c r="C509" i="2"/>
  <c r="K509" i="2" s="1"/>
  <c r="C456" i="2"/>
  <c r="K456" i="2" s="1"/>
  <c r="C411" i="2"/>
  <c r="K411" i="2" s="1"/>
  <c r="C349" i="2"/>
  <c r="K349" i="2" s="1"/>
  <c r="C283" i="2"/>
  <c r="K283" i="2" s="1"/>
  <c r="C225" i="2"/>
  <c r="K225" i="2" s="1"/>
  <c r="C161" i="2"/>
  <c r="K161" i="2" s="1"/>
  <c r="C115" i="2"/>
  <c r="K115" i="2" s="1"/>
  <c r="C53" i="2"/>
  <c r="K53" i="2" s="1"/>
  <c r="D933" i="2"/>
  <c r="D870" i="2"/>
  <c r="D824" i="2"/>
  <c r="D761" i="2"/>
  <c r="D698" i="2"/>
  <c r="D631" i="2"/>
  <c r="D574" i="2"/>
  <c r="D521" i="2"/>
  <c r="D462" i="2"/>
  <c r="D399" i="2"/>
  <c r="D329" i="2"/>
  <c r="D281" i="2"/>
  <c r="D210" i="2"/>
  <c r="D143" i="2"/>
  <c r="D71" i="2"/>
  <c r="B946" i="2"/>
  <c r="B903" i="2"/>
  <c r="B873" i="2"/>
  <c r="B827" i="2"/>
  <c r="B785" i="2"/>
  <c r="B737" i="2"/>
  <c r="B693" i="2"/>
  <c r="B661" i="2"/>
  <c r="B612" i="2"/>
  <c r="B566" i="2"/>
  <c r="B518" i="2"/>
  <c r="B481" i="2"/>
  <c r="B433" i="2"/>
  <c r="B384" i="2"/>
  <c r="B337" i="2"/>
  <c r="B291" i="2"/>
  <c r="B251" i="2"/>
  <c r="B206" i="2"/>
  <c r="B154" i="2"/>
  <c r="B108" i="2"/>
  <c r="B69" i="2"/>
  <c r="B23" i="2"/>
  <c r="C922" i="2"/>
  <c r="K922" i="2" s="1"/>
  <c r="C874" i="2"/>
  <c r="K874" i="2" s="1"/>
  <c r="C826" i="2"/>
  <c r="K826" i="2" s="1"/>
  <c r="C789" i="2"/>
  <c r="K789" i="2" s="1"/>
  <c r="C741" i="2"/>
  <c r="K741" i="2" s="1"/>
  <c r="C695" i="2"/>
  <c r="K695" i="2" s="1"/>
  <c r="C644" i="2"/>
  <c r="K644" i="2" s="1"/>
  <c r="C610" i="2"/>
  <c r="K610" i="2" s="1"/>
  <c r="C556" i="2"/>
  <c r="K556" i="2" s="1"/>
  <c r="C508" i="2"/>
  <c r="K508" i="2" s="1"/>
  <c r="C453" i="2"/>
  <c r="K453" i="2" s="1"/>
  <c r="C393" i="2"/>
  <c r="K393" i="2" s="1"/>
  <c r="C347" i="2"/>
  <c r="K347" i="2" s="1"/>
  <c r="C282" i="2"/>
  <c r="K282" i="2" s="1"/>
  <c r="C224" i="2"/>
  <c r="K224" i="2" s="1"/>
  <c r="C160" i="2"/>
  <c r="K160" i="2" s="1"/>
  <c r="C113" i="2"/>
  <c r="K113" i="2" s="1"/>
  <c r="C52" i="2"/>
  <c r="K52" i="2" s="1"/>
  <c r="D931" i="2"/>
  <c r="D869" i="2"/>
  <c r="D808" i="2"/>
  <c r="D759" i="2"/>
  <c r="D697" i="2"/>
  <c r="D630" i="2"/>
  <c r="D569" i="2"/>
  <c r="D520" i="2"/>
  <c r="D458" i="2"/>
  <c r="D398" i="2"/>
  <c r="D327" i="2"/>
  <c r="D261" i="2"/>
  <c r="D209" i="2"/>
  <c r="D142" i="2"/>
  <c r="D70" i="2"/>
  <c r="B13" i="2"/>
  <c r="B29" i="2"/>
  <c r="B45" i="2"/>
  <c r="B61" i="2"/>
  <c r="B77" i="2"/>
  <c r="B93" i="2"/>
  <c r="B109" i="2"/>
  <c r="B125" i="2"/>
  <c r="B141" i="2"/>
  <c r="B157" i="2"/>
  <c r="B173" i="2"/>
  <c r="B189" i="2"/>
  <c r="B205" i="2"/>
  <c r="B221" i="2"/>
  <c r="B237" i="2"/>
  <c r="B253" i="2"/>
  <c r="B269" i="2"/>
  <c r="B285" i="2"/>
  <c r="B301" i="2"/>
  <c r="B317" i="2"/>
  <c r="B333" i="2"/>
  <c r="B349" i="2"/>
  <c r="B365" i="2"/>
  <c r="B381" i="2"/>
  <c r="B397" i="2"/>
  <c r="B413" i="2"/>
  <c r="B429" i="2"/>
  <c r="B445" i="2"/>
  <c r="B461" i="2"/>
  <c r="B477" i="2"/>
  <c r="B493" i="2"/>
  <c r="B509" i="2"/>
  <c r="B525" i="2"/>
  <c r="B541" i="2"/>
  <c r="B557" i="2"/>
  <c r="B573" i="2"/>
  <c r="B589" i="2"/>
  <c r="B605" i="2"/>
  <c r="B621" i="2"/>
  <c r="B637" i="2"/>
  <c r="B653" i="2"/>
  <c r="B669" i="2"/>
  <c r="B685" i="2"/>
  <c r="B701" i="2"/>
  <c r="B717" i="2"/>
  <c r="B733" i="2"/>
  <c r="B749" i="2"/>
  <c r="B765" i="2"/>
  <c r="B781" i="2"/>
  <c r="B797" i="2"/>
  <c r="B813" i="2"/>
  <c r="B829" i="2"/>
  <c r="B845" i="2"/>
  <c r="B861" i="2"/>
  <c r="B877" i="2"/>
  <c r="B893" i="2"/>
  <c r="B909" i="2"/>
  <c r="B925" i="2"/>
  <c r="B941" i="2"/>
  <c r="B11" i="2"/>
  <c r="B28" i="2"/>
  <c r="B46" i="2"/>
  <c r="B63" i="2"/>
  <c r="B80" i="2"/>
  <c r="B97" i="2"/>
  <c r="B114" i="2"/>
  <c r="B131" i="2"/>
  <c r="B148" i="2"/>
  <c r="B165" i="2"/>
  <c r="B182" i="2"/>
  <c r="B199" i="2"/>
  <c r="B216" i="2"/>
  <c r="B233" i="2"/>
  <c r="B250" i="2"/>
  <c r="B267" i="2"/>
  <c r="B284" i="2"/>
  <c r="B302" i="2"/>
  <c r="B319" i="2"/>
  <c r="B336" i="2"/>
  <c r="B353" i="2"/>
  <c r="B370" i="2"/>
  <c r="B387" i="2"/>
  <c r="B404" i="2"/>
  <c r="B421" i="2"/>
  <c r="B438" i="2"/>
  <c r="B455" i="2"/>
  <c r="B472" i="2"/>
  <c r="B489" i="2"/>
  <c r="B506" i="2"/>
  <c r="B523" i="2"/>
  <c r="B540" i="2"/>
  <c r="B558" i="2"/>
  <c r="B575" i="2"/>
  <c r="B592" i="2"/>
  <c r="B609" i="2"/>
  <c r="B626" i="2"/>
  <c r="B643" i="2"/>
  <c r="B660" i="2"/>
  <c r="B677" i="2"/>
  <c r="B694" i="2"/>
  <c r="B711" i="2"/>
  <c r="B728" i="2"/>
  <c r="B745" i="2"/>
  <c r="B762" i="2"/>
  <c r="B779" i="2"/>
  <c r="B796" i="2"/>
  <c r="B814" i="2"/>
  <c r="B831" i="2"/>
  <c r="B848" i="2"/>
  <c r="B865" i="2"/>
  <c r="B882" i="2"/>
  <c r="B899" i="2"/>
  <c r="B916" i="2"/>
  <c r="B933" i="2"/>
  <c r="B16" i="2"/>
  <c r="B34" i="2"/>
  <c r="B52" i="2"/>
  <c r="B70" i="2"/>
  <c r="B88" i="2"/>
  <c r="B106" i="2"/>
  <c r="B124" i="2"/>
  <c r="B143" i="2"/>
  <c r="B161" i="2"/>
  <c r="B179" i="2"/>
  <c r="B197" i="2"/>
  <c r="B215" i="2"/>
  <c r="B234" i="2"/>
  <c r="B252" i="2"/>
  <c r="B271" i="2"/>
  <c r="B289" i="2"/>
  <c r="B307" i="2"/>
  <c r="B325" i="2"/>
  <c r="B343" i="2"/>
  <c r="B361" i="2"/>
  <c r="B379" i="2"/>
  <c r="B398" i="2"/>
  <c r="B416" i="2"/>
  <c r="B434" i="2"/>
  <c r="B452" i="2"/>
  <c r="B470" i="2"/>
  <c r="B488" i="2"/>
  <c r="B507" i="2"/>
  <c r="B526" i="2"/>
  <c r="B544" i="2"/>
  <c r="B562" i="2"/>
  <c r="B580" i="2"/>
  <c r="B598" i="2"/>
  <c r="B616" i="2"/>
  <c r="B634" i="2"/>
  <c r="B652" i="2"/>
  <c r="B671" i="2"/>
  <c r="B689" i="2"/>
  <c r="B707" i="2"/>
  <c r="B725" i="2"/>
  <c r="B743" i="2"/>
  <c r="B761" i="2"/>
  <c r="B780" i="2"/>
  <c r="B799" i="2"/>
  <c r="B817" i="2"/>
  <c r="B835" i="2"/>
  <c r="B853" i="2"/>
  <c r="B871" i="2"/>
  <c r="B889" i="2"/>
  <c r="B907" i="2"/>
  <c r="B926" i="2"/>
  <c r="B944" i="2"/>
  <c r="B17" i="2"/>
  <c r="B35" i="2"/>
  <c r="B53" i="2"/>
  <c r="B71" i="2"/>
  <c r="B89" i="2"/>
  <c r="B107" i="2"/>
  <c r="B126" i="2"/>
  <c r="B144" i="2"/>
  <c r="B162" i="2"/>
  <c r="B180" i="2"/>
  <c r="B198" i="2"/>
  <c r="B217" i="2"/>
  <c r="B235" i="2"/>
  <c r="B254" i="2"/>
  <c r="B272" i="2"/>
  <c r="B290" i="2"/>
  <c r="B308" i="2"/>
  <c r="B326" i="2"/>
  <c r="B344" i="2"/>
  <c r="B362" i="2"/>
  <c r="B380" i="2"/>
  <c r="B399" i="2"/>
  <c r="B417" i="2"/>
  <c r="B435" i="2"/>
  <c r="B453" i="2"/>
  <c r="B471" i="2"/>
  <c r="B490" i="2"/>
  <c r="B508" i="2"/>
  <c r="B527" i="2"/>
  <c r="B545" i="2"/>
  <c r="B563" i="2"/>
  <c r="B581" i="2"/>
  <c r="B599" i="2"/>
  <c r="B617" i="2"/>
  <c r="B635" i="2"/>
  <c r="B654" i="2"/>
  <c r="B672" i="2"/>
  <c r="B690" i="2"/>
  <c r="B708" i="2"/>
  <c r="B726" i="2"/>
  <c r="B744" i="2"/>
  <c r="B763" i="2"/>
  <c r="B782" i="2"/>
  <c r="B800" i="2"/>
  <c r="B818" i="2"/>
  <c r="B836" i="2"/>
  <c r="B854" i="2"/>
  <c r="B872" i="2"/>
  <c r="B890" i="2"/>
  <c r="B908" i="2"/>
  <c r="B927" i="2"/>
  <c r="B945" i="2"/>
  <c r="B929" i="2"/>
  <c r="B906" i="2"/>
  <c r="B886" i="2"/>
  <c r="B866" i="2"/>
  <c r="B844" i="2"/>
  <c r="B824" i="2"/>
  <c r="B804" i="2"/>
  <c r="B784" i="2"/>
  <c r="B760" i="2"/>
  <c r="B740" i="2"/>
  <c r="B720" i="2"/>
  <c r="B699" i="2"/>
  <c r="B679" i="2"/>
  <c r="B658" i="2"/>
  <c r="B638" i="2"/>
  <c r="B615" i="2"/>
  <c r="B595" i="2"/>
  <c r="B574" i="2"/>
  <c r="B553" i="2"/>
  <c r="B533" i="2"/>
  <c r="B513" i="2"/>
  <c r="B492" i="2"/>
  <c r="B469" i="2"/>
  <c r="B449" i="2"/>
  <c r="B428" i="2"/>
  <c r="B408" i="2"/>
  <c r="B388" i="2"/>
  <c r="B367" i="2"/>
  <c r="B346" i="2"/>
  <c r="B324" i="2"/>
  <c r="B304" i="2"/>
  <c r="B282" i="2"/>
  <c r="B262" i="2"/>
  <c r="B242" i="2"/>
  <c r="B222" i="2"/>
  <c r="B201" i="2"/>
  <c r="B178" i="2"/>
  <c r="B158" i="2"/>
  <c r="B137" i="2"/>
  <c r="B117" i="2"/>
  <c r="B96" i="2"/>
  <c r="B75" i="2"/>
  <c r="B55" i="2"/>
  <c r="B33" i="2"/>
  <c r="B12" i="2"/>
  <c r="B948" i="2"/>
  <c r="B928" i="2"/>
  <c r="B905" i="2"/>
  <c r="B885" i="2"/>
  <c r="B864" i="2"/>
  <c r="B843" i="2"/>
  <c r="B823" i="2"/>
  <c r="B803" i="2"/>
  <c r="B783" i="2"/>
  <c r="B759" i="2"/>
  <c r="B739" i="2"/>
  <c r="B719" i="2"/>
  <c r="B698" i="2"/>
  <c r="B678" i="2"/>
  <c r="B657" i="2"/>
  <c r="B636" i="2"/>
  <c r="B614" i="2"/>
  <c r="B594" i="2"/>
  <c r="B572" i="2"/>
  <c r="B552" i="2"/>
  <c r="B532" i="2"/>
  <c r="B512" i="2"/>
  <c r="B491" i="2"/>
  <c r="B468" i="2"/>
  <c r="B448" i="2"/>
  <c r="B427" i="2"/>
  <c r="B407" i="2"/>
  <c r="B386" i="2"/>
  <c r="B366" i="2"/>
  <c r="B345" i="2"/>
  <c r="B323" i="2"/>
  <c r="B303" i="2"/>
  <c r="B281" i="2"/>
  <c r="B261" i="2"/>
  <c r="B241" i="2"/>
  <c r="B220" i="2"/>
  <c r="B200" i="2"/>
  <c r="B177" i="2"/>
  <c r="B156" i="2"/>
  <c r="B136" i="2"/>
  <c r="B116" i="2"/>
  <c r="B95" i="2"/>
  <c r="B74" i="2"/>
  <c r="B54" i="2"/>
  <c r="B32" i="2"/>
  <c r="B10" i="2"/>
  <c r="H38" i="2" l="1" a="1"/>
  <c r="H38" i="2" s="1"/>
  <c r="I39" i="2" a="1"/>
  <c r="I39" i="2" s="1"/>
  <c r="H39" i="2" a="1"/>
  <c r="H39" i="2" s="1"/>
  <c r="H40" i="2" a="1"/>
  <c r="H40" i="2" s="1"/>
  <c r="I40" i="2" a="1"/>
  <c r="I40" i="2" s="1"/>
  <c r="H41" i="2" a="1"/>
  <c r="H41" i="2" s="1"/>
  <c r="H42" i="2" a="1"/>
  <c r="H42" i="2" s="1"/>
  <c r="I41" i="2" a="1"/>
  <c r="I41" i="2" s="1"/>
  <c r="H43" i="2" a="1"/>
  <c r="H43" i="2" s="1"/>
  <c r="I42" i="2" a="1"/>
  <c r="I42" i="2" s="1"/>
  <c r="I34" i="2" a="1"/>
  <c r="I34" i="2" s="1"/>
  <c r="I43" i="2" a="1"/>
  <c r="I43" i="2" s="1"/>
  <c r="I26" i="2"/>
  <c r="L303" i="2"/>
  <c r="L932" i="2"/>
  <c r="L676" i="2"/>
  <c r="L856" i="2"/>
  <c r="L545" i="2"/>
  <c r="L235" i="2"/>
  <c r="L876" i="2"/>
  <c r="L585" i="2"/>
  <c r="L355" i="2"/>
  <c r="L945" i="2"/>
  <c r="L591" i="2"/>
  <c r="L226" i="2"/>
  <c r="L62" i="2"/>
  <c r="L817" i="2"/>
  <c r="L309" i="2"/>
  <c r="L917" i="2"/>
  <c r="L860" i="2"/>
  <c r="L505" i="2"/>
  <c r="L130" i="2"/>
  <c r="L704" i="2"/>
  <c r="L562" i="2"/>
  <c r="L268" i="2"/>
  <c r="L878" i="2"/>
  <c r="L289" i="2"/>
  <c r="L442" i="2"/>
  <c r="L68" i="2"/>
  <c r="L60" i="2"/>
  <c r="L867" i="2"/>
  <c r="L92" i="2"/>
  <c r="L699" i="2"/>
  <c r="L285" i="2"/>
  <c r="L429" i="2"/>
  <c r="L895" i="2"/>
  <c r="L506" i="2"/>
  <c r="L615" i="2"/>
  <c r="L250" i="2"/>
  <c r="L242" i="2"/>
  <c r="L360" i="2"/>
  <c r="L608" i="2"/>
  <c r="L778" i="2"/>
  <c r="L446" i="2"/>
  <c r="L232" i="2"/>
  <c r="L727" i="2"/>
  <c r="L370" i="2"/>
  <c r="L924" i="2"/>
  <c r="L571" i="2"/>
  <c r="L204" i="2"/>
  <c r="L421" i="2"/>
  <c r="L745" i="2"/>
  <c r="L69" i="2"/>
  <c r="L85" i="2"/>
  <c r="L711" i="2"/>
  <c r="L683" i="2"/>
  <c r="L321" i="2"/>
  <c r="L880" i="2"/>
  <c r="L863" i="2"/>
  <c r="L255" i="2"/>
  <c r="L555" i="2"/>
  <c r="L742" i="2"/>
  <c r="L193" i="2"/>
  <c r="L700" i="2"/>
  <c r="L920" i="2"/>
  <c r="L930" i="2"/>
  <c r="L248" i="2"/>
  <c r="L795" i="2"/>
  <c r="L22" i="2"/>
  <c r="L765" i="2"/>
  <c r="L286" i="2"/>
  <c r="L485" i="2"/>
  <c r="L942" i="2"/>
  <c r="L669" i="2"/>
  <c r="L396" i="2"/>
  <c r="D3" i="2"/>
  <c r="I37" i="2" s="1" a="1"/>
  <c r="I37" i="2" s="1"/>
  <c r="C3" i="2"/>
  <c r="B3" i="2"/>
  <c r="I27" i="2" s="1"/>
  <c r="L144" i="2" l="1"/>
  <c r="L8" i="2"/>
  <c r="L515" i="2"/>
  <c r="L632" i="2"/>
  <c r="L240" i="2"/>
  <c r="I38" i="2" a="1"/>
  <c r="I38" i="2" s="1"/>
  <c r="L190" i="2"/>
  <c r="L476" i="2"/>
  <c r="L789" i="2"/>
  <c r="L143" i="2"/>
  <c r="L332" i="2"/>
  <c r="H35" i="2" a="1"/>
  <c r="H35" i="2" s="1"/>
  <c r="H37" i="2" a="1"/>
  <c r="H37" i="2" s="1"/>
  <c r="L264" i="2"/>
  <c r="L911" i="2"/>
  <c r="L166" i="2"/>
  <c r="L569" i="2"/>
  <c r="L618" i="2"/>
  <c r="I36" i="2" a="1"/>
  <c r="I36" i="2" s="1"/>
  <c r="H36" i="2" a="1"/>
  <c r="H36" i="2" s="1"/>
  <c r="L809" i="2"/>
  <c r="L336" i="2"/>
  <c r="L812" i="2"/>
  <c r="L830" i="2"/>
  <c r="L263" i="2"/>
  <c r="I35" i="2" a="1"/>
  <c r="I35" i="2" s="1"/>
  <c r="K3" i="2"/>
  <c r="I28" i="2"/>
  <c r="I29" i="2"/>
  <c r="H34" i="2" a="1"/>
  <c r="H34" i="2" s="1"/>
  <c r="L331" i="2"/>
  <c r="L897" i="2"/>
  <c r="L72" i="2"/>
  <c r="L507" i="2"/>
  <c r="L346" i="2"/>
  <c r="L320" i="2"/>
  <c r="L510" i="2"/>
  <c r="L622" i="2"/>
  <c r="L18" i="2"/>
  <c r="L804" i="2"/>
  <c r="L491" i="2"/>
  <c r="L129" i="2"/>
  <c r="L406" i="2"/>
  <c r="L525" i="2"/>
  <c r="L854" i="2"/>
  <c r="L829" i="2"/>
  <c r="L543" i="2"/>
  <c r="L577" i="2"/>
  <c r="L890" i="2"/>
  <c r="L508" i="2"/>
  <c r="L900" i="2"/>
  <c r="L197" i="2"/>
  <c r="L821" i="2"/>
  <c r="L879" i="2"/>
  <c r="L610" i="2"/>
  <c r="L50" i="2"/>
  <c r="L841" i="2"/>
  <c r="L329" i="2"/>
  <c r="L494" i="2"/>
  <c r="L754" i="2"/>
  <c r="L67" i="2"/>
  <c r="L153" i="2"/>
  <c r="L702" i="2"/>
  <c r="L395" i="2"/>
  <c r="L611" i="2"/>
  <c r="L10" i="2"/>
  <c r="L822" i="2"/>
  <c r="L536" i="2"/>
  <c r="L644" i="2"/>
  <c r="L492" i="2"/>
  <c r="L529" i="2"/>
  <c r="L524" i="2"/>
  <c r="L162" i="2"/>
  <c r="L685" i="2"/>
  <c r="L714" i="2"/>
  <c r="L825" i="2"/>
  <c r="L149" i="2"/>
  <c r="L481" i="2"/>
  <c r="L663" i="2"/>
  <c r="L384" i="2"/>
  <c r="L342" i="2"/>
  <c r="L666" i="2"/>
  <c r="L44" i="2"/>
  <c r="L646" i="2"/>
  <c r="L280" i="2"/>
  <c r="L17" i="2"/>
  <c r="L398" i="2"/>
  <c r="L170" i="2"/>
  <c r="L238" i="2"/>
  <c r="L152" i="2"/>
  <c r="L885" i="2"/>
  <c r="L126" i="2"/>
  <c r="L167" i="2"/>
  <c r="L401" i="2"/>
  <c r="L723" i="2"/>
  <c r="L208" i="2"/>
  <c r="L735" i="2"/>
  <c r="L93" i="2"/>
  <c r="L365" i="2"/>
  <c r="L215" i="2"/>
  <c r="L677" i="2"/>
  <c r="L82" i="2"/>
  <c r="L888" i="2"/>
  <c r="L513" i="2"/>
  <c r="L933" i="2"/>
  <c r="L728" i="2"/>
  <c r="L857" i="2"/>
  <c r="L200" i="2"/>
  <c r="L179" i="2"/>
  <c r="L853" i="2"/>
  <c r="L782" i="2"/>
  <c r="L554" i="2"/>
  <c r="L325" i="2"/>
  <c r="L838" i="2"/>
  <c r="L757" i="2"/>
  <c r="L720" i="2"/>
  <c r="L26" i="2"/>
  <c r="L909" i="2"/>
  <c r="L813" i="2"/>
  <c r="L709" i="2"/>
  <c r="L125" i="2"/>
  <c r="L576" i="2"/>
  <c r="L463" i="2"/>
  <c r="L326" i="2"/>
  <c r="L584" i="2"/>
  <c r="L567" i="2"/>
  <c r="L842" i="2"/>
  <c r="L422" i="2"/>
  <c r="L233" i="2"/>
  <c r="L620" i="2"/>
  <c r="L86" i="2"/>
  <c r="L869" i="2"/>
  <c r="L898" i="2"/>
  <c r="L447" i="2"/>
  <c r="L696" i="2"/>
  <c r="L159" i="2"/>
  <c r="L460" i="2"/>
  <c r="L438" i="2"/>
  <c r="L827" i="2"/>
  <c r="L9" i="2"/>
  <c r="L16" i="2"/>
  <c r="L892" i="2"/>
  <c r="L287" i="2"/>
  <c r="L294" i="2"/>
  <c r="L509" i="2"/>
  <c r="L665" i="2"/>
  <c r="L846" i="2"/>
  <c r="L534" i="2"/>
  <c r="L713" i="2"/>
  <c r="L462" i="2"/>
  <c r="L537" i="2"/>
  <c r="L174" i="2"/>
  <c r="L724" i="2"/>
  <c r="L915" i="2"/>
  <c r="L78" i="2"/>
  <c r="L53" i="2"/>
  <c r="L389" i="2"/>
  <c r="L645" i="2"/>
  <c r="L755" i="2"/>
  <c r="L785" i="2"/>
  <c r="L773" i="2"/>
  <c r="L21" i="2"/>
  <c r="L178" i="2"/>
  <c r="L214" i="2"/>
  <c r="L417" i="2"/>
  <c r="L65" i="2"/>
  <c r="L165" i="2"/>
  <c r="L934" i="2"/>
  <c r="L137" i="2"/>
  <c r="L257" i="2"/>
  <c r="L468" i="2"/>
  <c r="L605" i="2"/>
  <c r="L658" i="2"/>
  <c r="L636" i="2"/>
  <c r="L926" i="2"/>
  <c r="L76" i="2"/>
  <c r="L247" i="2"/>
  <c r="L236" i="2"/>
  <c r="L928" i="2"/>
  <c r="L852" i="2"/>
  <c r="L5" i="2"/>
  <c r="L155" i="2"/>
  <c r="L30" i="2"/>
  <c r="L801" i="2"/>
  <c r="L781" i="2"/>
  <c r="L523" i="2"/>
  <c r="L579" i="2"/>
  <c r="L496" i="2"/>
  <c r="L212" i="2"/>
  <c r="L295" i="2"/>
  <c r="L297" i="2"/>
  <c r="L271" i="2"/>
  <c r="L573" i="2"/>
  <c r="L6" i="2"/>
  <c r="L531" i="2"/>
  <c r="L848" i="2"/>
  <c r="L172" i="2"/>
  <c r="L596" i="2"/>
  <c r="L324" i="2"/>
  <c r="L741" i="2"/>
  <c r="L631" i="2"/>
  <c r="L648" i="2"/>
  <c r="L391" i="2"/>
  <c r="L354" i="2"/>
  <c r="L477" i="2"/>
  <c r="L774" i="2"/>
  <c r="L106" i="2"/>
  <c r="L948" i="2"/>
  <c r="L70" i="2"/>
  <c r="L12" i="2"/>
  <c r="L701" i="2"/>
  <c r="L766" i="2"/>
  <c r="L409" i="2"/>
  <c r="L64" i="2"/>
  <c r="L379" i="2"/>
  <c r="L123" i="2"/>
  <c r="L729" i="2"/>
  <c r="L736" i="2"/>
  <c r="L112" i="2"/>
  <c r="L119" i="2"/>
  <c r="L339" i="2"/>
  <c r="L345" i="2"/>
  <c r="L652" i="2"/>
  <c r="L3" i="2"/>
  <c r="L670" i="2"/>
  <c r="L671" i="2"/>
  <c r="L831" i="2"/>
  <c r="L731" i="2"/>
  <c r="L98" i="2"/>
  <c r="L403" i="2"/>
  <c r="L695" i="2"/>
  <c r="L387" i="2"/>
  <c r="L109" i="2"/>
  <c r="L689" i="2"/>
  <c r="L471" i="2"/>
  <c r="L383" i="2"/>
  <c r="L470" i="2"/>
  <c r="L382" i="2"/>
  <c r="L466" i="2"/>
  <c r="L425" i="2"/>
  <c r="L906" i="2"/>
  <c r="L905" i="2"/>
  <c r="L832" i="2"/>
  <c r="L317" i="2"/>
  <c r="L807" i="2"/>
  <c r="L114" i="2"/>
  <c r="L110" i="2"/>
  <c r="L456" i="2"/>
  <c r="L39" i="2"/>
  <c r="L251" i="2"/>
  <c r="L414" i="2"/>
  <c r="L627" i="2"/>
  <c r="L343" i="2"/>
  <c r="L230" i="2"/>
  <c r="L315" i="2"/>
  <c r="L157" i="2"/>
  <c r="L128" i="2"/>
  <c r="L118" i="2"/>
  <c r="L434" i="2"/>
  <c r="L675" i="2"/>
  <c r="L63" i="2"/>
  <c r="L518" i="2"/>
  <c r="L244" i="2"/>
  <c r="L407" i="2"/>
  <c r="L872" i="2"/>
  <c r="L668" i="2"/>
  <c r="L712" i="2"/>
  <c r="L124" i="2"/>
  <c r="L649" i="2"/>
  <c r="L20" i="2"/>
  <c r="L113" i="2"/>
  <c r="L405" i="2"/>
  <c r="L759" i="2"/>
  <c r="L457" i="2"/>
  <c r="L770" i="2"/>
  <c r="L87" i="2"/>
  <c r="L222" i="2"/>
  <c r="L489" i="2"/>
  <c r="L583" i="2"/>
  <c r="L210" i="2"/>
  <c r="L580" i="2"/>
  <c r="L127" i="2"/>
  <c r="L376" i="2"/>
  <c r="L97" i="2"/>
  <c r="L840" i="2"/>
  <c r="L681" i="2"/>
  <c r="L816" i="2"/>
  <c r="L794" i="2"/>
  <c r="L177" i="2"/>
  <c r="L304" i="2"/>
  <c r="L169" i="2"/>
  <c r="L116" i="2"/>
  <c r="L572" i="2"/>
  <c r="L693" i="2"/>
  <c r="L787" i="2"/>
  <c r="L891" i="2"/>
  <c r="L393" i="2"/>
  <c r="L444" i="2"/>
  <c r="L218" i="2"/>
  <c r="L101" i="2"/>
  <c r="L582" i="2"/>
  <c r="L824" i="2"/>
  <c r="L925" i="2"/>
  <c r="L792" i="2"/>
  <c r="L514" i="2"/>
  <c r="L790" i="2"/>
  <c r="L330" i="2"/>
  <c r="L616" i="2"/>
  <c r="L350" i="2"/>
  <c r="L318" i="2"/>
  <c r="L674" i="2"/>
  <c r="L777" i="2"/>
  <c r="L290" i="2"/>
  <c r="L430" i="2"/>
  <c r="L504" i="2"/>
  <c r="L678" i="2"/>
  <c r="L927" i="2"/>
  <c r="L23" i="2"/>
  <c r="L528" i="2"/>
  <c r="L454" i="2"/>
  <c r="L500" i="2"/>
  <c r="L392" i="2"/>
  <c r="L265" i="2"/>
  <c r="L600" i="2"/>
  <c r="L61" i="2"/>
  <c r="L581" i="2"/>
  <c r="L13" i="2"/>
  <c r="L276" i="2"/>
  <c r="L51" i="2"/>
  <c r="L941" i="2"/>
  <c r="L173" i="2"/>
  <c r="L748" i="2"/>
  <c r="L187" i="2"/>
  <c r="L650" i="2"/>
  <c r="L207" i="2"/>
  <c r="L819" i="2"/>
  <c r="L472" i="2"/>
  <c r="L630" i="2"/>
  <c r="L836" i="2"/>
  <c r="L503" i="2"/>
  <c r="L914" i="2"/>
  <c r="L258" i="2"/>
  <c r="L220" i="2"/>
  <c r="L105" i="2"/>
  <c r="L201" i="2"/>
  <c r="L243" i="2"/>
  <c r="L488" i="2"/>
  <c r="L744" i="2"/>
  <c r="L722" i="2"/>
  <c r="L372" i="2"/>
  <c r="L903" i="2"/>
  <c r="L40" i="2"/>
  <c r="L136" i="2"/>
  <c r="L274" i="2"/>
  <c r="L747" i="2"/>
  <c r="L378" i="2"/>
  <c r="L734" i="2"/>
  <c r="L282" i="2"/>
  <c r="L306" i="2"/>
  <c r="L261" i="2"/>
  <c r="L19" i="2"/>
  <c r="L229" i="2"/>
  <c r="L451" i="2"/>
  <c r="L185" i="2"/>
  <c r="L621" i="2"/>
  <c r="L445" i="2"/>
  <c r="L889" i="2"/>
  <c r="L196" i="2"/>
  <c r="L344" i="2"/>
  <c r="L151" i="2"/>
  <c r="L563" i="2"/>
  <c r="L703" i="2"/>
  <c r="L859" i="2"/>
  <c r="L45" i="2"/>
  <c r="L27" i="2"/>
  <c r="L333" i="2"/>
  <c r="L278" i="2"/>
  <c r="L590" i="2"/>
  <c r="L756" i="2"/>
  <c r="L746" i="2"/>
  <c r="L810" i="2"/>
  <c r="L239" i="2"/>
  <c r="L371" i="2"/>
  <c r="L334" i="2"/>
  <c r="L587" i="2"/>
  <c r="L532" i="2"/>
  <c r="L437" i="2"/>
  <c r="L337" i="2"/>
  <c r="L764" i="2"/>
  <c r="L99" i="2"/>
  <c r="L634" i="2"/>
  <c r="L14" i="2"/>
  <c r="L52" i="2"/>
  <c r="L156" i="2"/>
  <c r="L408" i="2"/>
  <c r="L595" i="2"/>
  <c r="L277" i="2"/>
  <c r="L855" i="2"/>
  <c r="L307" i="2"/>
  <c r="L864" i="2"/>
  <c r="L511" i="2"/>
  <c r="L483" i="2"/>
  <c r="L753" i="2"/>
  <c r="L626" i="2"/>
  <c r="L798" i="2"/>
  <c r="L33" i="2"/>
  <c r="L74" i="2"/>
  <c r="L628" i="2"/>
  <c r="L241" i="2"/>
  <c r="L606" i="2"/>
  <c r="L424" i="2"/>
  <c r="L566" i="2"/>
  <c r="L182" i="2"/>
  <c r="L918" i="2"/>
  <c r="L148" i="2"/>
  <c r="L613" i="2"/>
  <c r="L750" i="2"/>
  <c r="L107" i="2"/>
  <c r="L312" i="2"/>
  <c r="L594" i="2"/>
  <c r="L380" i="2"/>
  <c r="L688" i="2"/>
  <c r="L912" i="2"/>
  <c r="L883" i="2"/>
  <c r="L763" i="2"/>
  <c r="L452" i="2"/>
  <c r="L319" i="2"/>
  <c r="L710" i="2"/>
  <c r="L175" i="2"/>
  <c r="L75" i="2"/>
  <c r="L299" i="2"/>
  <c r="L617" i="2"/>
  <c r="L432" i="2"/>
  <c r="L643" i="2"/>
  <c r="L718" i="2"/>
  <c r="L15" i="2"/>
  <c r="L191" i="2"/>
  <c r="L181" i="2"/>
  <c r="L194" i="2"/>
  <c r="L625" i="2"/>
  <c r="L682" i="2"/>
  <c r="L775" i="2"/>
  <c r="L519" i="2"/>
  <c r="L788" i="2"/>
  <c r="L791" i="2"/>
  <c r="L873" i="2"/>
  <c r="L428" i="2"/>
  <c r="L410" i="2"/>
  <c r="L390" i="2"/>
  <c r="L588" i="2"/>
  <c r="L308" i="2"/>
  <c r="L103" i="2"/>
  <c r="L943" i="2"/>
  <c r="L655" i="2"/>
  <c r="L550" i="2"/>
  <c r="L298" i="2"/>
  <c r="L847" i="2"/>
  <c r="L656" i="2"/>
  <c r="L802" i="2"/>
  <c r="L835" i="2"/>
  <c r="L133" i="2"/>
  <c r="L58" i="2"/>
  <c r="L43" i="2"/>
  <c r="L501" i="2"/>
  <c r="L522" i="2"/>
  <c r="L884" i="2"/>
  <c r="L203" i="2"/>
  <c r="L541" i="2"/>
  <c r="L435" i="2"/>
  <c r="L858" i="2"/>
  <c r="L551" i="2"/>
  <c r="L310" i="2"/>
  <c r="L404" i="2"/>
  <c r="L944" i="2"/>
  <c r="L115" i="2"/>
  <c r="L602" i="2"/>
  <c r="L603" i="2"/>
  <c r="L947" i="2"/>
  <c r="L919" i="2"/>
  <c r="L707" i="2"/>
  <c r="L273" i="2"/>
  <c r="L188" i="2"/>
  <c r="L211" i="2"/>
  <c r="L708" i="2"/>
  <c r="L680" i="2"/>
  <c r="L83" i="2"/>
  <c r="L929" i="2"/>
  <c r="L366" i="2"/>
  <c r="L661" i="2"/>
  <c r="L544" i="2"/>
  <c r="L805" i="2"/>
  <c r="L46" i="2"/>
  <c r="L450" i="2"/>
  <c r="L521" i="2"/>
  <c r="L464" i="2"/>
  <c r="L549" i="2"/>
  <c r="L743" i="2"/>
  <c r="L56" i="2"/>
  <c r="L90" i="2"/>
  <c r="L34" i="2"/>
  <c r="L465" i="2"/>
  <c r="L225" i="2"/>
  <c r="L227" i="2"/>
  <c r="L266" i="2"/>
  <c r="L796" i="2"/>
  <c r="L721" i="2"/>
  <c r="L828" i="2"/>
  <c r="L351" i="2"/>
  <c r="L564" i="2"/>
  <c r="L480" i="2"/>
  <c r="L338" i="2"/>
  <c r="L183" i="2"/>
  <c r="L823" i="2"/>
  <c r="L659" i="2"/>
  <c r="L234" i="2"/>
  <c r="L186" i="2"/>
  <c r="L158" i="2"/>
  <c r="L270" i="2"/>
  <c r="L687" i="2"/>
  <c r="L629" i="2"/>
  <c r="L219" i="2"/>
  <c r="L937" i="2"/>
  <c r="L458" i="2"/>
  <c r="L55" i="2"/>
  <c r="L570" i="2"/>
  <c r="L478" i="2"/>
  <c r="L431" i="2"/>
  <c r="L216" i="2"/>
  <c r="L904" i="2"/>
  <c r="L849" i="2"/>
  <c r="L660" i="2"/>
  <c r="L283" i="2"/>
  <c r="L673" i="2"/>
  <c r="L623" i="2"/>
  <c r="L894" i="2"/>
  <c r="L419" i="2"/>
  <c r="L313" i="2"/>
  <c r="L146" i="2"/>
  <c r="L586" i="2"/>
  <c r="L640" i="2"/>
  <c r="L698" i="2"/>
  <c r="L140" i="2"/>
  <c r="L104" i="2"/>
  <c r="L647" i="2"/>
  <c r="L427" i="2"/>
  <c r="L657" i="2"/>
  <c r="L32" i="2"/>
  <c r="L486" i="2"/>
  <c r="L899" i="2"/>
  <c r="L385" i="2"/>
  <c r="L886" i="2"/>
  <c r="L931" i="2"/>
  <c r="L737" i="2"/>
  <c r="L902" i="2"/>
  <c r="L121" i="2"/>
  <c r="L653" i="2"/>
  <c r="L426" i="2"/>
  <c r="L502" i="2"/>
  <c r="L871" i="2"/>
  <c r="L498" i="2"/>
  <c r="L593" i="2"/>
  <c r="L811" i="2"/>
  <c r="L252" i="2"/>
  <c r="L134" i="2"/>
  <c r="L96" i="2"/>
  <c r="L762" i="2"/>
  <c r="L820" i="2"/>
  <c r="L833" i="2"/>
  <c r="L875" i="2"/>
  <c r="L940" i="2"/>
  <c r="L202" i="2"/>
  <c r="L79" i="2"/>
  <c r="L783" i="2"/>
  <c r="L706" i="2"/>
  <c r="L469" i="2"/>
  <c r="L717" i="2"/>
  <c r="L145" i="2"/>
  <c r="L100" i="2"/>
  <c r="L552" i="2"/>
  <c r="L217" i="2"/>
  <c r="L732" i="2"/>
  <c r="L328" i="2"/>
  <c r="L922" i="2"/>
  <c r="L411" i="2"/>
  <c r="L797" i="2"/>
  <c r="L526" i="2"/>
  <c r="L359" i="2"/>
  <c r="L237" i="2"/>
  <c r="L916" i="2"/>
  <c r="L249" i="2"/>
  <c r="L41" i="2"/>
  <c r="L35" i="2"/>
  <c r="L254" i="2"/>
  <c r="L851" i="2"/>
  <c r="L850" i="2"/>
  <c r="L539" i="2"/>
  <c r="L896" i="2"/>
  <c r="L361" i="2"/>
  <c r="L142" i="2"/>
  <c r="L413" i="2"/>
  <c r="L482" i="2"/>
  <c r="L11" i="2"/>
  <c r="L358" i="2"/>
  <c r="L314" i="2"/>
  <c r="L499" i="2"/>
  <c r="L418" i="2"/>
  <c r="L866" i="2"/>
  <c r="L716" i="2"/>
  <c r="L296" i="2"/>
  <c r="L733" i="2"/>
  <c r="L111" i="2"/>
  <c r="L347" i="2"/>
  <c r="L679" i="2"/>
  <c r="L599" i="2"/>
  <c r="L758" i="2"/>
  <c r="L938" i="2"/>
  <c r="L399" i="2"/>
  <c r="L771" i="2"/>
  <c r="L946" i="2"/>
  <c r="L195" i="2"/>
  <c r="L373" i="2"/>
  <c r="L467" i="2"/>
  <c r="L558" i="2"/>
  <c r="L281" i="2"/>
  <c r="L259" i="2"/>
  <c r="L272" i="2"/>
  <c r="L267" i="2"/>
  <c r="L921" i="2"/>
  <c r="L493" i="2"/>
  <c r="L461" i="2"/>
  <c r="L168" i="2"/>
  <c r="L141" i="2"/>
  <c r="L779" i="2"/>
  <c r="L474" i="2"/>
  <c r="L589" i="2"/>
  <c r="L356" i="2"/>
  <c r="L882" i="2"/>
  <c r="L667" i="2"/>
  <c r="L560" i="2"/>
  <c r="L601" i="2"/>
  <c r="L369" i="2"/>
  <c r="L341" i="2"/>
  <c r="L253" i="2"/>
  <c r="L837" i="2"/>
  <c r="L800" i="2"/>
  <c r="L786" i="2"/>
  <c r="L89" i="2"/>
  <c r="L614" i="2"/>
  <c r="L607" i="2"/>
  <c r="L455" i="2"/>
  <c r="L565" i="2"/>
  <c r="L161" i="2"/>
  <c r="L826" i="2"/>
  <c r="L490" i="2"/>
  <c r="L139" i="2"/>
  <c r="L803" i="2"/>
  <c r="L102" i="2"/>
  <c r="L686" i="2"/>
  <c r="L834" i="2"/>
  <c r="L578" i="2"/>
  <c r="L843" i="2"/>
  <c r="L624" i="2"/>
  <c r="L936" i="2"/>
  <c r="L642" i="2"/>
  <c r="L59" i="2"/>
  <c r="L47" i="2"/>
  <c r="L844" i="2"/>
  <c r="L767" i="2"/>
  <c r="L402" i="2"/>
  <c r="L705" i="2"/>
  <c r="L48" i="2"/>
  <c r="L4" i="2"/>
  <c r="L91" i="2"/>
  <c r="L374" i="2"/>
  <c r="L808" i="2"/>
  <c r="L147" i="2"/>
  <c r="L7" i="2"/>
  <c r="L751" i="2"/>
  <c r="L357" i="2"/>
  <c r="L799" i="2"/>
  <c r="L441" i="2"/>
  <c r="L697" i="2"/>
  <c r="L533" i="2"/>
  <c r="L637" i="2"/>
  <c r="L815" i="2"/>
  <c r="L108" i="2"/>
  <c r="L784" i="2"/>
  <c r="L814" i="2"/>
  <c r="L715" i="2"/>
  <c r="L538" i="2"/>
  <c r="L24" i="2"/>
  <c r="L910" i="2"/>
  <c r="L71" i="2"/>
  <c r="L612" i="2"/>
  <c r="L221" i="2"/>
  <c r="L575" i="2"/>
  <c r="L861" i="2"/>
  <c r="L874" i="2"/>
  <c r="L726" i="2"/>
  <c r="L887" i="2"/>
  <c r="L367" i="2"/>
  <c r="L81" i="2"/>
  <c r="L95" i="2"/>
  <c r="L939" i="2"/>
  <c r="L362" i="2"/>
  <c r="L29" i="2"/>
  <c r="L542" i="2"/>
  <c r="L66" i="2"/>
  <c r="L877" i="2"/>
  <c r="L609" i="2"/>
  <c r="L284" i="2"/>
  <c r="L180" i="2"/>
  <c r="L322" i="2"/>
  <c r="L192" i="2"/>
  <c r="L288" i="2"/>
  <c r="L57" i="2"/>
  <c r="L275" i="2"/>
  <c r="L517" i="2"/>
  <c r="L37" i="2"/>
  <c r="L935" i="2"/>
  <c r="L246" i="2"/>
  <c r="L73" i="2"/>
  <c r="L228" i="2"/>
  <c r="L386" i="2"/>
  <c r="L231" i="2"/>
  <c r="L561" i="2"/>
  <c r="L694" i="2"/>
  <c r="L94" i="2"/>
  <c r="L619" i="2"/>
  <c r="L260" i="2"/>
  <c r="L28" i="2"/>
  <c r="L907" i="2"/>
  <c r="L224" i="2"/>
  <c r="L439" i="2"/>
  <c r="L394" i="2"/>
  <c r="L122" i="2"/>
  <c r="L36" i="2"/>
  <c r="L135" i="2"/>
  <c r="L375" i="2"/>
  <c r="L397" i="2"/>
  <c r="L806" i="2"/>
  <c r="L54" i="2"/>
  <c r="L198" i="2"/>
  <c r="L604" i="2"/>
  <c r="L138" i="2"/>
  <c r="L245" i="2"/>
  <c r="L88" i="2"/>
  <c r="L738" i="2"/>
  <c r="L199" i="2"/>
  <c r="L189" i="2"/>
  <c r="L520" i="2"/>
  <c r="L868" i="2"/>
  <c r="L176" i="2"/>
  <c r="L512" i="2"/>
  <c r="L495" i="2"/>
  <c r="L256" i="2"/>
  <c r="L154" i="2"/>
  <c r="L269" i="2"/>
  <c r="L865" i="2"/>
  <c r="L262" i="2"/>
  <c r="L557" i="2"/>
  <c r="L400" i="2"/>
  <c r="L635" i="2"/>
  <c r="L416" i="2"/>
  <c r="L479" i="2"/>
  <c r="L598" i="2"/>
  <c r="L120" i="2"/>
  <c r="L335" i="2"/>
  <c r="L761" i="2"/>
  <c r="L436" i="2"/>
  <c r="L654" i="2"/>
  <c r="L739" i="2"/>
  <c r="L662" i="2"/>
  <c r="L348" i="2"/>
  <c r="L638" i="2"/>
  <c r="L453" i="2"/>
  <c r="L893" i="2"/>
  <c r="L25" i="2"/>
  <c r="L691" i="2"/>
  <c r="L574" i="2"/>
  <c r="L484" i="2"/>
  <c r="L368" i="2"/>
  <c r="L780" i="2"/>
  <c r="L171" i="2"/>
  <c r="L42" i="2"/>
  <c r="L556" i="2"/>
  <c r="L553" i="2"/>
  <c r="L516" i="2"/>
  <c r="L415" i="2"/>
  <c r="L300" i="2"/>
  <c r="L223" i="2"/>
  <c r="L730" i="2"/>
  <c r="L749" i="2"/>
  <c r="L684" i="2"/>
  <c r="L292" i="2"/>
  <c r="L77" i="2"/>
  <c r="L913" i="2"/>
  <c r="L316" i="2"/>
  <c r="L184" i="2"/>
  <c r="L440" i="2"/>
  <c r="L752" i="2"/>
  <c r="L31" i="2"/>
  <c r="L449" i="2"/>
  <c r="L690" i="2"/>
  <c r="L651" i="2"/>
  <c r="L84" i="2"/>
  <c r="L530" i="2"/>
  <c r="L641" i="2"/>
  <c r="L497" i="2"/>
  <c r="L38" i="2"/>
  <c r="L546" i="2"/>
  <c r="L443" i="2"/>
  <c r="L568" i="2"/>
  <c r="L547" i="2"/>
  <c r="L527" i="2"/>
  <c r="L818" i="2"/>
  <c r="L132" i="2"/>
  <c r="L592" i="2"/>
  <c r="L279" i="2"/>
  <c r="L870" i="2"/>
  <c r="L908" i="2"/>
  <c r="L769" i="2"/>
  <c r="L412" i="2"/>
  <c r="L164" i="2"/>
  <c r="L302" i="2"/>
  <c r="L776" i="2"/>
  <c r="L209" i="2"/>
  <c r="L692" i="2"/>
  <c r="L323" i="2"/>
  <c r="L117" i="2"/>
  <c r="L597" i="2"/>
  <c r="L639" i="2"/>
  <c r="L473" i="2"/>
  <c r="L381" i="2"/>
  <c r="L353" i="2"/>
  <c r="L364" i="2"/>
  <c r="L423" i="2"/>
  <c r="L559" i="2"/>
  <c r="L740" i="2"/>
  <c r="L725" i="2"/>
  <c r="L163" i="2"/>
  <c r="L535" i="2"/>
  <c r="L352" i="2"/>
  <c r="L305" i="2"/>
  <c r="L487" i="2"/>
  <c r="L772" i="2"/>
  <c r="L768" i="2"/>
  <c r="L845" i="2"/>
  <c r="L672" i="2"/>
  <c r="L80" i="2"/>
  <c r="L160" i="2"/>
  <c r="L49" i="2"/>
  <c r="L548" i="2"/>
  <c r="L459" i="2"/>
  <c r="L301" i="2"/>
  <c r="L664" i="2"/>
  <c r="L475" i="2"/>
  <c r="L793" i="2"/>
  <c r="L131" i="2"/>
  <c r="L433" i="2"/>
  <c r="L760" i="2"/>
  <c r="L448" i="2"/>
  <c r="L213" i="2"/>
  <c r="L340" i="2"/>
  <c r="L862" i="2"/>
  <c r="L540" i="2"/>
  <c r="L291" i="2"/>
  <c r="L311" i="2"/>
  <c r="L901" i="2"/>
  <c r="L377" i="2"/>
  <c r="L363" i="2"/>
  <c r="L839" i="2"/>
  <c r="L881" i="2"/>
  <c r="L206" i="2"/>
  <c r="L388" i="2"/>
  <c r="L923" i="2"/>
  <c r="L719" i="2"/>
  <c r="L327" i="2"/>
  <c r="L293" i="2"/>
  <c r="L205" i="2"/>
  <c r="L349" i="2"/>
  <c r="L420" i="2"/>
  <c r="L633" i="2"/>
  <c r="L150" i="2"/>
  <c r="J19" i="2"/>
  <c r="J35" i="2"/>
  <c r="J51" i="2"/>
  <c r="J67" i="2"/>
  <c r="J83" i="2"/>
  <c r="J99" i="2"/>
  <c r="J115" i="2"/>
  <c r="J131" i="2"/>
  <c r="J147" i="2"/>
  <c r="J163" i="2"/>
  <c r="J179" i="2"/>
  <c r="J195" i="2"/>
  <c r="J211" i="2"/>
  <c r="J227" i="2"/>
  <c r="J243" i="2"/>
  <c r="J259" i="2"/>
  <c r="J275" i="2"/>
  <c r="J291" i="2"/>
  <c r="J307" i="2"/>
  <c r="J323" i="2"/>
  <c r="J339" i="2"/>
  <c r="J355" i="2"/>
  <c r="J371" i="2"/>
  <c r="J387" i="2"/>
  <c r="J403" i="2"/>
  <c r="J419" i="2"/>
  <c r="J435" i="2"/>
  <c r="J451" i="2"/>
  <c r="J467" i="2"/>
  <c r="J483" i="2"/>
  <c r="J499" i="2"/>
  <c r="J515" i="2"/>
  <c r="J531" i="2"/>
  <c r="J547" i="2"/>
  <c r="J563" i="2"/>
  <c r="J579" i="2"/>
  <c r="J595" i="2"/>
  <c r="J611" i="2"/>
  <c r="J627" i="2"/>
  <c r="J643" i="2"/>
  <c r="J659" i="2"/>
  <c r="J675" i="2"/>
  <c r="J691" i="2"/>
  <c r="J707" i="2"/>
  <c r="J723" i="2"/>
  <c r="J739" i="2"/>
  <c r="J755" i="2"/>
  <c r="J771" i="2"/>
  <c r="J787" i="2"/>
  <c r="J803" i="2"/>
  <c r="J819" i="2"/>
  <c r="J835" i="2"/>
  <c r="J851" i="2"/>
  <c r="J867" i="2"/>
  <c r="J883" i="2"/>
  <c r="J899" i="2"/>
  <c r="J915" i="2"/>
  <c r="J931" i="2"/>
  <c r="J947" i="2"/>
  <c r="J4" i="2"/>
  <c r="J20" i="2"/>
  <c r="J36" i="2"/>
  <c r="J52" i="2"/>
  <c r="J68" i="2"/>
  <c r="J84" i="2"/>
  <c r="J100" i="2"/>
  <c r="J116" i="2"/>
  <c r="J132" i="2"/>
  <c r="J148" i="2"/>
  <c r="J164" i="2"/>
  <c r="J180" i="2"/>
  <c r="J196" i="2"/>
  <c r="J212" i="2"/>
  <c r="J228" i="2"/>
  <c r="J244" i="2"/>
  <c r="J260" i="2"/>
  <c r="J276" i="2"/>
  <c r="J292" i="2"/>
  <c r="J308" i="2"/>
  <c r="J324" i="2"/>
  <c r="J340" i="2"/>
  <c r="J356" i="2"/>
  <c r="J372" i="2"/>
  <c r="J388" i="2"/>
  <c r="J404" i="2"/>
  <c r="J420" i="2"/>
  <c r="J436" i="2"/>
  <c r="J452" i="2"/>
  <c r="J468" i="2"/>
  <c r="J484" i="2"/>
  <c r="J500" i="2"/>
  <c r="J516" i="2"/>
  <c r="J532" i="2"/>
  <c r="J548" i="2"/>
  <c r="J564" i="2"/>
  <c r="J580" i="2"/>
  <c r="J596" i="2"/>
  <c r="J612" i="2"/>
  <c r="J628" i="2"/>
  <c r="J644" i="2"/>
  <c r="J5" i="2"/>
  <c r="J21" i="2"/>
  <c r="J37" i="2"/>
  <c r="J53" i="2"/>
  <c r="J69" i="2"/>
  <c r="J85" i="2"/>
  <c r="J101" i="2"/>
  <c r="J117" i="2"/>
  <c r="J133" i="2"/>
  <c r="J149" i="2"/>
  <c r="J165" i="2"/>
  <c r="J181" i="2"/>
  <c r="J197" i="2"/>
  <c r="J213" i="2"/>
  <c r="J229" i="2"/>
  <c r="J245" i="2"/>
  <c r="J261" i="2"/>
  <c r="J277" i="2"/>
  <c r="J293" i="2"/>
  <c r="J309" i="2"/>
  <c r="J325" i="2"/>
  <c r="J341" i="2"/>
  <c r="J357" i="2"/>
  <c r="J373" i="2"/>
  <c r="J389" i="2"/>
  <c r="J405" i="2"/>
  <c r="J421" i="2"/>
  <c r="J437" i="2"/>
  <c r="J453" i="2"/>
  <c r="J469" i="2"/>
  <c r="J485" i="2"/>
  <c r="J501" i="2"/>
  <c r="J517" i="2"/>
  <c r="J533" i="2"/>
  <c r="J549" i="2"/>
  <c r="J565" i="2"/>
  <c r="J581" i="2"/>
  <c r="J597" i="2"/>
  <c r="J613" i="2"/>
  <c r="J629" i="2"/>
  <c r="J645" i="2"/>
  <c r="J661" i="2"/>
  <c r="J677" i="2"/>
  <c r="J693" i="2"/>
  <c r="J709" i="2"/>
  <c r="J725" i="2"/>
  <c r="J741" i="2"/>
  <c r="J757" i="2"/>
  <c r="J773" i="2"/>
  <c r="J789" i="2"/>
  <c r="J805" i="2"/>
  <c r="J821" i="2"/>
  <c r="J837" i="2"/>
  <c r="J853" i="2"/>
  <c r="J869" i="2"/>
  <c r="J885" i="2"/>
  <c r="J901" i="2"/>
  <c r="J917" i="2"/>
  <c r="J933" i="2"/>
  <c r="J3" i="2"/>
  <c r="J6" i="2"/>
  <c r="J22" i="2"/>
  <c r="J38" i="2"/>
  <c r="J54" i="2"/>
  <c r="J70" i="2"/>
  <c r="J86" i="2"/>
  <c r="J102" i="2"/>
  <c r="J7" i="2"/>
  <c r="J27" i="2"/>
  <c r="J47" i="2"/>
  <c r="J71" i="2"/>
  <c r="J91" i="2"/>
  <c r="J111" i="2"/>
  <c r="J130" i="2"/>
  <c r="J152" i="2"/>
  <c r="J171" i="2"/>
  <c r="J190" i="2"/>
  <c r="J209" i="2"/>
  <c r="J231" i="2"/>
  <c r="J250" i="2"/>
  <c r="J269" i="2"/>
  <c r="J288" i="2"/>
  <c r="J310" i="2"/>
  <c r="J329" i="2"/>
  <c r="J348" i="2"/>
  <c r="J367" i="2"/>
  <c r="J386" i="2"/>
  <c r="J408" i="2"/>
  <c r="J427" i="2"/>
  <c r="J446" i="2"/>
  <c r="J465" i="2"/>
  <c r="J487" i="2"/>
  <c r="J506" i="2"/>
  <c r="J525" i="2"/>
  <c r="J544" i="2"/>
  <c r="J566" i="2"/>
  <c r="J585" i="2"/>
  <c r="J604" i="2"/>
  <c r="J623" i="2"/>
  <c r="J642" i="2"/>
  <c r="J663" i="2"/>
  <c r="J681" i="2"/>
  <c r="J699" i="2"/>
  <c r="J717" i="2"/>
  <c r="J735" i="2"/>
  <c r="J753" i="2"/>
  <c r="J772" i="2"/>
  <c r="J791" i="2"/>
  <c r="J809" i="2"/>
  <c r="J827" i="2"/>
  <c r="J845" i="2"/>
  <c r="J863" i="2"/>
  <c r="J881" i="2"/>
  <c r="J900" i="2"/>
  <c r="J919" i="2"/>
  <c r="J937" i="2"/>
  <c r="J8" i="2"/>
  <c r="J28" i="2"/>
  <c r="J48" i="2"/>
  <c r="J72" i="2"/>
  <c r="J92" i="2"/>
  <c r="J112" i="2"/>
  <c r="J134" i="2"/>
  <c r="J153" i="2"/>
  <c r="J172" i="2"/>
  <c r="J191" i="2"/>
  <c r="J210" i="2"/>
  <c r="J232" i="2"/>
  <c r="J251" i="2"/>
  <c r="J270" i="2"/>
  <c r="J289" i="2"/>
  <c r="J311" i="2"/>
  <c r="J330" i="2"/>
  <c r="J349" i="2"/>
  <c r="J368" i="2"/>
  <c r="J390" i="2"/>
  <c r="J409" i="2"/>
  <c r="J428" i="2"/>
  <c r="J447" i="2"/>
  <c r="J466" i="2"/>
  <c r="J488" i="2"/>
  <c r="J507" i="2"/>
  <c r="J526" i="2"/>
  <c r="J545" i="2"/>
  <c r="J567" i="2"/>
  <c r="J586" i="2"/>
  <c r="J605" i="2"/>
  <c r="J624" i="2"/>
  <c r="J646" i="2"/>
  <c r="J664" i="2"/>
  <c r="J682" i="2"/>
  <c r="J700" i="2"/>
  <c r="J718" i="2"/>
  <c r="J736" i="2"/>
  <c r="J754" i="2"/>
  <c r="J774" i="2"/>
  <c r="J792" i="2"/>
  <c r="J810" i="2"/>
  <c r="J828" i="2"/>
  <c r="J846" i="2"/>
  <c r="J864" i="2"/>
  <c r="J882" i="2"/>
  <c r="J902" i="2"/>
  <c r="J920" i="2"/>
  <c r="J938" i="2"/>
  <c r="J9" i="2"/>
  <c r="J29" i="2"/>
  <c r="J49" i="2"/>
  <c r="J73" i="2"/>
  <c r="J93" i="2"/>
  <c r="J113" i="2"/>
  <c r="J135" i="2"/>
  <c r="J154" i="2"/>
  <c r="J173" i="2"/>
  <c r="J192" i="2"/>
  <c r="J214" i="2"/>
  <c r="J233" i="2"/>
  <c r="J252" i="2"/>
  <c r="J271" i="2"/>
  <c r="J290" i="2"/>
  <c r="J312" i="2"/>
  <c r="J331" i="2"/>
  <c r="J350" i="2"/>
  <c r="J369" i="2"/>
  <c r="J391" i="2"/>
  <c r="J410" i="2"/>
  <c r="J429" i="2"/>
  <c r="J448" i="2"/>
  <c r="J470" i="2"/>
  <c r="J489" i="2"/>
  <c r="J508" i="2"/>
  <c r="J527" i="2"/>
  <c r="J546" i="2"/>
  <c r="J568" i="2"/>
  <c r="J587" i="2"/>
  <c r="J606" i="2"/>
  <c r="J625" i="2"/>
  <c r="J647" i="2"/>
  <c r="J665" i="2"/>
  <c r="J683" i="2"/>
  <c r="J701" i="2"/>
  <c r="J719" i="2"/>
  <c r="J737" i="2"/>
  <c r="J756" i="2"/>
  <c r="J775" i="2"/>
  <c r="J793" i="2"/>
  <c r="J811" i="2"/>
  <c r="J829" i="2"/>
  <c r="J847" i="2"/>
  <c r="J865" i="2"/>
  <c r="J884" i="2"/>
  <c r="J903" i="2"/>
  <c r="J921" i="2"/>
  <c r="J939" i="2"/>
  <c r="J10" i="2"/>
  <c r="J30" i="2"/>
  <c r="J50" i="2"/>
  <c r="J74" i="2"/>
  <c r="J94" i="2"/>
  <c r="J114" i="2"/>
  <c r="J136" i="2"/>
  <c r="J155" i="2"/>
  <c r="J174" i="2"/>
  <c r="J193" i="2"/>
  <c r="J215" i="2"/>
  <c r="J234" i="2"/>
  <c r="J253" i="2"/>
  <c r="J272" i="2"/>
  <c r="J294" i="2"/>
  <c r="J313" i="2"/>
  <c r="J332" i="2"/>
  <c r="J351" i="2"/>
  <c r="J370" i="2"/>
  <c r="J392" i="2"/>
  <c r="J411" i="2"/>
  <c r="J430" i="2"/>
  <c r="J449" i="2"/>
  <c r="J471" i="2"/>
  <c r="J490" i="2"/>
  <c r="J509" i="2"/>
  <c r="J528" i="2"/>
  <c r="J550" i="2"/>
  <c r="J569" i="2"/>
  <c r="J588" i="2"/>
  <c r="J607" i="2"/>
  <c r="J626" i="2"/>
  <c r="J648" i="2"/>
  <c r="J666" i="2"/>
  <c r="J684" i="2"/>
  <c r="J702" i="2"/>
  <c r="J720" i="2"/>
  <c r="J738" i="2"/>
  <c r="J758" i="2"/>
  <c r="J776" i="2"/>
  <c r="J794" i="2"/>
  <c r="J812" i="2"/>
  <c r="J830" i="2"/>
  <c r="J848" i="2"/>
  <c r="J866" i="2"/>
  <c r="J886" i="2"/>
  <c r="J904" i="2"/>
  <c r="J922" i="2"/>
  <c r="J940" i="2"/>
  <c r="J11" i="2"/>
  <c r="J31" i="2"/>
  <c r="J55" i="2"/>
  <c r="J75" i="2"/>
  <c r="J95" i="2"/>
  <c r="J118" i="2"/>
  <c r="J137" i="2"/>
  <c r="J156" i="2"/>
  <c r="J175" i="2"/>
  <c r="J194" i="2"/>
  <c r="J216" i="2"/>
  <c r="J235" i="2"/>
  <c r="J254" i="2"/>
  <c r="J273" i="2"/>
  <c r="J295" i="2"/>
  <c r="J314" i="2"/>
  <c r="J333" i="2"/>
  <c r="J352" i="2"/>
  <c r="J374" i="2"/>
  <c r="J393" i="2"/>
  <c r="J412" i="2"/>
  <c r="J431" i="2"/>
  <c r="J450" i="2"/>
  <c r="J472" i="2"/>
  <c r="J491" i="2"/>
  <c r="J510" i="2"/>
  <c r="J529" i="2"/>
  <c r="J551" i="2"/>
  <c r="J570" i="2"/>
  <c r="J589" i="2"/>
  <c r="J12" i="2"/>
  <c r="J41" i="2"/>
  <c r="J66" i="2"/>
  <c r="J104" i="2"/>
  <c r="J128" i="2"/>
  <c r="J160" i="2"/>
  <c r="J187" i="2"/>
  <c r="J219" i="2"/>
  <c r="J246" i="2"/>
  <c r="J278" i="2"/>
  <c r="J302" i="2"/>
  <c r="J334" i="2"/>
  <c r="J361" i="2"/>
  <c r="J385" i="2"/>
  <c r="J417" i="2"/>
  <c r="J444" i="2"/>
  <c r="J476" i="2"/>
  <c r="J503" i="2"/>
  <c r="J535" i="2"/>
  <c r="J559" i="2"/>
  <c r="J591" i="2"/>
  <c r="J617" i="2"/>
  <c r="J640" i="2"/>
  <c r="J669" i="2"/>
  <c r="J692" i="2"/>
  <c r="J715" i="2"/>
  <c r="J743" i="2"/>
  <c r="J765" i="2"/>
  <c r="J788" i="2"/>
  <c r="J815" i="2"/>
  <c r="J839" i="2"/>
  <c r="J861" i="2"/>
  <c r="J889" i="2"/>
  <c r="J911" i="2"/>
  <c r="J935" i="2"/>
  <c r="J457" i="2"/>
  <c r="J81" i="2"/>
  <c r="J225" i="2"/>
  <c r="J399" i="2"/>
  <c r="J458" i="2"/>
  <c r="J514" i="2"/>
  <c r="J630" i="2"/>
  <c r="J676" i="2"/>
  <c r="J727" i="2"/>
  <c r="J799" i="2"/>
  <c r="J873" i="2"/>
  <c r="J923" i="2"/>
  <c r="J518" i="2"/>
  <c r="J896" i="2"/>
  <c r="J24" i="2"/>
  <c r="J58" i="2"/>
  <c r="J120" i="2"/>
  <c r="J144" i="2"/>
  <c r="J176" i="2"/>
  <c r="J203" i="2"/>
  <c r="J230" i="2"/>
  <c r="J286" i="2"/>
  <c r="J318" i="2"/>
  <c r="J345" i="2"/>
  <c r="J377" i="2"/>
  <c r="J401" i="2"/>
  <c r="J433" i="2"/>
  <c r="J460" i="2"/>
  <c r="J492" i="2"/>
  <c r="J519" i="2"/>
  <c r="J543" i="2"/>
  <c r="J575" i="2"/>
  <c r="J602" i="2"/>
  <c r="J632" i="2"/>
  <c r="J655" i="2"/>
  <c r="J705" i="2"/>
  <c r="J751" i="2"/>
  <c r="J779" i="2"/>
  <c r="J825" i="2"/>
  <c r="J852" i="2"/>
  <c r="J875" i="2"/>
  <c r="J897" i="2"/>
  <c r="J948" i="2"/>
  <c r="J236" i="2"/>
  <c r="J730" i="2"/>
  <c r="J898" i="2"/>
  <c r="J178" i="2"/>
  <c r="J759" i="2"/>
  <c r="J123" i="2"/>
  <c r="J609" i="2"/>
  <c r="J13" i="2"/>
  <c r="J42" i="2"/>
  <c r="J76" i="2"/>
  <c r="J105" i="2"/>
  <c r="J129" i="2"/>
  <c r="J161" i="2"/>
  <c r="J188" i="2"/>
  <c r="J220" i="2"/>
  <c r="J247" i="2"/>
  <c r="J279" i="2"/>
  <c r="J303" i="2"/>
  <c r="J335" i="2"/>
  <c r="J362" i="2"/>
  <c r="J394" i="2"/>
  <c r="J418" i="2"/>
  <c r="J445" i="2"/>
  <c r="J477" i="2"/>
  <c r="J504" i="2"/>
  <c r="J536" i="2"/>
  <c r="J560" i="2"/>
  <c r="J592" i="2"/>
  <c r="J618" i="2"/>
  <c r="J641" i="2"/>
  <c r="J670" i="2"/>
  <c r="J694" i="2"/>
  <c r="J716" i="2"/>
  <c r="J744" i="2"/>
  <c r="J766" i="2"/>
  <c r="J790" i="2"/>
  <c r="J816" i="2"/>
  <c r="J840" i="2"/>
  <c r="J862" i="2"/>
  <c r="J890" i="2"/>
  <c r="J912" i="2"/>
  <c r="J936" i="2"/>
  <c r="J282" i="2"/>
  <c r="J80" i="2"/>
  <c r="J540" i="2"/>
  <c r="J822" i="2"/>
  <c r="J110" i="2"/>
  <c r="J201" i="2"/>
  <c r="J257" i="2"/>
  <c r="J284" i="2"/>
  <c r="J375" i="2"/>
  <c r="J426" i="2"/>
  <c r="J482" i="2"/>
  <c r="J573" i="2"/>
  <c r="J653" i="2"/>
  <c r="J703" i="2"/>
  <c r="J777" i="2"/>
  <c r="J849" i="2"/>
  <c r="J895" i="2"/>
  <c r="J945" i="2"/>
  <c r="J574" i="2"/>
  <c r="J874" i="2"/>
  <c r="J679" i="2"/>
  <c r="J656" i="2"/>
  <c r="J876" i="2"/>
  <c r="J205" i="2"/>
  <c r="J731" i="2"/>
  <c r="J90" i="2"/>
  <c r="J635" i="2"/>
  <c r="J806" i="2"/>
  <c r="J14" i="2"/>
  <c r="J43" i="2"/>
  <c r="J77" i="2"/>
  <c r="J106" i="2"/>
  <c r="J138" i="2"/>
  <c r="J162" i="2"/>
  <c r="J189" i="2"/>
  <c r="J221" i="2"/>
  <c r="J248" i="2"/>
  <c r="J280" i="2"/>
  <c r="J304" i="2"/>
  <c r="J336" i="2"/>
  <c r="J363" i="2"/>
  <c r="J395" i="2"/>
  <c r="J422" i="2"/>
  <c r="J454" i="2"/>
  <c r="J478" i="2"/>
  <c r="J505" i="2"/>
  <c r="J537" i="2"/>
  <c r="J561" i="2"/>
  <c r="J593" i="2"/>
  <c r="J619" i="2"/>
  <c r="J649" i="2"/>
  <c r="J671" i="2"/>
  <c r="J695" i="2"/>
  <c r="J721" i="2"/>
  <c r="J745" i="2"/>
  <c r="J767" i="2"/>
  <c r="J795" i="2"/>
  <c r="J817" i="2"/>
  <c r="J841" i="2"/>
  <c r="J868" i="2"/>
  <c r="J891" i="2"/>
  <c r="J913" i="2"/>
  <c r="J941" i="2"/>
  <c r="J45" i="2"/>
  <c r="J79" i="2"/>
  <c r="J140" i="2"/>
  <c r="J199" i="2"/>
  <c r="J255" i="2"/>
  <c r="J338" i="2"/>
  <c r="J397" i="2"/>
  <c r="J456" i="2"/>
  <c r="J512" i="2"/>
  <c r="J571" i="2"/>
  <c r="J621" i="2"/>
  <c r="J673" i="2"/>
  <c r="J724" i="2"/>
  <c r="J769" i="2"/>
  <c r="J820" i="2"/>
  <c r="J871" i="2"/>
  <c r="J916" i="2"/>
  <c r="J17" i="2"/>
  <c r="J141" i="2"/>
  <c r="J200" i="2"/>
  <c r="J256" i="2"/>
  <c r="J315" i="2"/>
  <c r="J366" i="2"/>
  <c r="J425" i="2"/>
  <c r="J513" i="2"/>
  <c r="J599" i="2"/>
  <c r="J652" i="2"/>
  <c r="J698" i="2"/>
  <c r="J748" i="2"/>
  <c r="J798" i="2"/>
  <c r="J872" i="2"/>
  <c r="J918" i="2"/>
  <c r="J56" i="2"/>
  <c r="J142" i="2"/>
  <c r="J316" i="2"/>
  <c r="J541" i="2"/>
  <c r="J749" i="2"/>
  <c r="J678" i="2"/>
  <c r="J946" i="2"/>
  <c r="J262" i="2"/>
  <c r="J729" i="2"/>
  <c r="J925" i="2"/>
  <c r="J633" i="2"/>
  <c r="J89" i="2"/>
  <c r="J438" i="2"/>
  <c r="J553" i="2"/>
  <c r="J608" i="2"/>
  <c r="J657" i="2"/>
  <c r="J708" i="2"/>
  <c r="J804" i="2"/>
  <c r="J855" i="2"/>
  <c r="J905" i="2"/>
  <c r="J32" i="2"/>
  <c r="J182" i="2"/>
  <c r="J238" i="2"/>
  <c r="J297" i="2"/>
  <c r="J353" i="2"/>
  <c r="J407" i="2"/>
  <c r="J463" i="2"/>
  <c r="J522" i="2"/>
  <c r="J578" i="2"/>
  <c r="J686" i="2"/>
  <c r="J732" i="2"/>
  <c r="J782" i="2"/>
  <c r="J15" i="2"/>
  <c r="J44" i="2"/>
  <c r="J78" i="2"/>
  <c r="J107" i="2"/>
  <c r="J139" i="2"/>
  <c r="J166" i="2"/>
  <c r="J198" i="2"/>
  <c r="J222" i="2"/>
  <c r="J249" i="2"/>
  <c r="J281" i="2"/>
  <c r="J305" i="2"/>
  <c r="J337" i="2"/>
  <c r="J364" i="2"/>
  <c r="J396" i="2"/>
  <c r="J423" i="2"/>
  <c r="J455" i="2"/>
  <c r="J479" i="2"/>
  <c r="J511" i="2"/>
  <c r="J538" i="2"/>
  <c r="J562" i="2"/>
  <c r="J594" i="2"/>
  <c r="J620" i="2"/>
  <c r="J650" i="2"/>
  <c r="J672" i="2"/>
  <c r="J696" i="2"/>
  <c r="J722" i="2"/>
  <c r="J746" i="2"/>
  <c r="J768" i="2"/>
  <c r="J796" i="2"/>
  <c r="J818" i="2"/>
  <c r="J842" i="2"/>
  <c r="J870" i="2"/>
  <c r="J892" i="2"/>
  <c r="J914" i="2"/>
  <c r="J942" i="2"/>
  <c r="J16" i="2"/>
  <c r="J108" i="2"/>
  <c r="J167" i="2"/>
  <c r="J223" i="2"/>
  <c r="J306" i="2"/>
  <c r="J365" i="2"/>
  <c r="J424" i="2"/>
  <c r="J480" i="2"/>
  <c r="J539" i="2"/>
  <c r="J598" i="2"/>
  <c r="J651" i="2"/>
  <c r="J697" i="2"/>
  <c r="J747" i="2"/>
  <c r="J797" i="2"/>
  <c r="J843" i="2"/>
  <c r="J893" i="2"/>
  <c r="J943" i="2"/>
  <c r="J46" i="2"/>
  <c r="J109" i="2"/>
  <c r="J168" i="2"/>
  <c r="J224" i="2"/>
  <c r="J283" i="2"/>
  <c r="J342" i="2"/>
  <c r="J398" i="2"/>
  <c r="J481" i="2"/>
  <c r="J572" i="2"/>
  <c r="J622" i="2"/>
  <c r="J674" i="2"/>
  <c r="J726" i="2"/>
  <c r="J770" i="2"/>
  <c r="J844" i="2"/>
  <c r="J894" i="2"/>
  <c r="J944" i="2"/>
  <c r="J18" i="2"/>
  <c r="J169" i="2"/>
  <c r="J343" i="2"/>
  <c r="J600" i="2"/>
  <c r="J823" i="2"/>
  <c r="J23" i="2"/>
  <c r="J57" i="2"/>
  <c r="J82" i="2"/>
  <c r="J119" i="2"/>
  <c r="J143" i="2"/>
  <c r="J170" i="2"/>
  <c r="J202" i="2"/>
  <c r="J226" i="2"/>
  <c r="J258" i="2"/>
  <c r="J285" i="2"/>
  <c r="J317" i="2"/>
  <c r="J344" i="2"/>
  <c r="J376" i="2"/>
  <c r="J400" i="2"/>
  <c r="J432" i="2"/>
  <c r="J459" i="2"/>
  <c r="J486" i="2"/>
  <c r="J542" i="2"/>
  <c r="J601" i="2"/>
  <c r="J631" i="2"/>
  <c r="J654" i="2"/>
  <c r="J704" i="2"/>
  <c r="J728" i="2"/>
  <c r="J750" i="2"/>
  <c r="J778" i="2"/>
  <c r="J800" i="2"/>
  <c r="J824" i="2"/>
  <c r="J850" i="2"/>
  <c r="J924" i="2"/>
  <c r="J87" i="2"/>
  <c r="J801" i="2"/>
  <c r="J25" i="2"/>
  <c r="J59" i="2"/>
  <c r="J88" i="2"/>
  <c r="J121" i="2"/>
  <c r="J145" i="2"/>
  <c r="J177" i="2"/>
  <c r="J204" i="2"/>
  <c r="J263" i="2"/>
  <c r="J287" i="2"/>
  <c r="J319" i="2"/>
  <c r="J346" i="2"/>
  <c r="J378" i="2"/>
  <c r="J402" i="2"/>
  <c r="J434" i="2"/>
  <c r="J461" i="2"/>
  <c r="J493" i="2"/>
  <c r="J520" i="2"/>
  <c r="J552" i="2"/>
  <c r="J576" i="2"/>
  <c r="J603" i="2"/>
  <c r="J680" i="2"/>
  <c r="J706" i="2"/>
  <c r="J752" i="2"/>
  <c r="J780" i="2"/>
  <c r="J802" i="2"/>
  <c r="J826" i="2"/>
  <c r="J854" i="2"/>
  <c r="J926" i="2"/>
  <c r="J26" i="2"/>
  <c r="J60" i="2"/>
  <c r="J122" i="2"/>
  <c r="J146" i="2"/>
  <c r="J237" i="2"/>
  <c r="J264" i="2"/>
  <c r="J296" i="2"/>
  <c r="J320" i="2"/>
  <c r="J347" i="2"/>
  <c r="J379" i="2"/>
  <c r="J406" i="2"/>
  <c r="J462" i="2"/>
  <c r="J494" i="2"/>
  <c r="J521" i="2"/>
  <c r="J577" i="2"/>
  <c r="J634" i="2"/>
  <c r="J685" i="2"/>
  <c r="J781" i="2"/>
  <c r="J831" i="2"/>
  <c r="J877" i="2"/>
  <c r="J927" i="2"/>
  <c r="J61" i="2"/>
  <c r="J150" i="2"/>
  <c r="J206" i="2"/>
  <c r="J265" i="2"/>
  <c r="J321" i="2"/>
  <c r="J380" i="2"/>
  <c r="J439" i="2"/>
  <c r="J495" i="2"/>
  <c r="J554" i="2"/>
  <c r="J658" i="2"/>
  <c r="J710" i="2"/>
  <c r="J760" i="2"/>
  <c r="J856" i="2"/>
  <c r="J33" i="2"/>
  <c r="J151" i="2"/>
  <c r="J266" i="2"/>
  <c r="J381" i="2"/>
  <c r="J496" i="2"/>
  <c r="J610" i="2"/>
  <c r="J711" i="2"/>
  <c r="J807" i="2"/>
  <c r="J887" i="2"/>
  <c r="J34" i="2"/>
  <c r="J157" i="2"/>
  <c r="J267" i="2"/>
  <c r="J382" i="2"/>
  <c r="J497" i="2"/>
  <c r="J614" i="2"/>
  <c r="J712" i="2"/>
  <c r="J808" i="2"/>
  <c r="J888" i="2"/>
  <c r="J127" i="2"/>
  <c r="J360" i="2"/>
  <c r="J475" i="2"/>
  <c r="J590" i="2"/>
  <c r="J690" i="2"/>
  <c r="J786" i="2"/>
  <c r="J880" i="2"/>
  <c r="J39" i="2"/>
  <c r="J158" i="2"/>
  <c r="J268" i="2"/>
  <c r="J383" i="2"/>
  <c r="J498" i="2"/>
  <c r="J615" i="2"/>
  <c r="J713" i="2"/>
  <c r="J813" i="2"/>
  <c r="J906" i="2"/>
  <c r="J40" i="2"/>
  <c r="J159" i="2"/>
  <c r="J274" i="2"/>
  <c r="J384" i="2"/>
  <c r="J502" i="2"/>
  <c r="J616" i="2"/>
  <c r="J714" i="2"/>
  <c r="J814" i="2"/>
  <c r="J907" i="2"/>
  <c r="J62" i="2"/>
  <c r="J183" i="2"/>
  <c r="J298" i="2"/>
  <c r="J413" i="2"/>
  <c r="J523" i="2"/>
  <c r="J636" i="2"/>
  <c r="J733" i="2"/>
  <c r="J832" i="2"/>
  <c r="J908" i="2"/>
  <c r="J63" i="2"/>
  <c r="J184" i="2"/>
  <c r="J299" i="2"/>
  <c r="J414" i="2"/>
  <c r="J524" i="2"/>
  <c r="J637" i="2"/>
  <c r="J734" i="2"/>
  <c r="J833" i="2"/>
  <c r="J909" i="2"/>
  <c r="J64" i="2"/>
  <c r="J185" i="2"/>
  <c r="J300" i="2"/>
  <c r="J415" i="2"/>
  <c r="J530" i="2"/>
  <c r="J638" i="2"/>
  <c r="J740" i="2"/>
  <c r="J834" i="2"/>
  <c r="J910" i="2"/>
  <c r="J65" i="2"/>
  <c r="J186" i="2"/>
  <c r="J301" i="2"/>
  <c r="J416" i="2"/>
  <c r="J534" i="2"/>
  <c r="J639" i="2"/>
  <c r="J742" i="2"/>
  <c r="J836" i="2"/>
  <c r="J928" i="2"/>
  <c r="J96" i="2"/>
  <c r="J207" i="2"/>
  <c r="J322" i="2"/>
  <c r="J440" i="2"/>
  <c r="J555" i="2"/>
  <c r="J660" i="2"/>
  <c r="J761" i="2"/>
  <c r="J838" i="2"/>
  <c r="J929" i="2"/>
  <c r="J97" i="2"/>
  <c r="J208" i="2"/>
  <c r="J326" i="2"/>
  <c r="J441" i="2"/>
  <c r="J556" i="2"/>
  <c r="J662" i="2"/>
  <c r="J762" i="2"/>
  <c r="J857" i="2"/>
  <c r="J930" i="2"/>
  <c r="J98" i="2"/>
  <c r="J217" i="2"/>
  <c r="J327" i="2"/>
  <c r="J442" i="2"/>
  <c r="J557" i="2"/>
  <c r="J667" i="2"/>
  <c r="J763" i="2"/>
  <c r="J858" i="2"/>
  <c r="J932" i="2"/>
  <c r="J103" i="2"/>
  <c r="J218" i="2"/>
  <c r="J328" i="2"/>
  <c r="J443" i="2"/>
  <c r="J558" i="2"/>
  <c r="J668" i="2"/>
  <c r="J764" i="2"/>
  <c r="J859" i="2"/>
  <c r="J934" i="2"/>
  <c r="J124" i="2"/>
  <c r="J239" i="2"/>
  <c r="J354" i="2"/>
  <c r="J464" i="2"/>
  <c r="J582" i="2"/>
  <c r="J687" i="2"/>
  <c r="J783" i="2"/>
  <c r="J860" i="2"/>
  <c r="J125" i="2"/>
  <c r="J240" i="2"/>
  <c r="J358" i="2"/>
  <c r="J473" i="2"/>
  <c r="J583" i="2"/>
  <c r="J688" i="2"/>
  <c r="J784" i="2"/>
  <c r="J878" i="2"/>
  <c r="J126" i="2"/>
  <c r="J241" i="2"/>
  <c r="J359" i="2"/>
  <c r="J474" i="2"/>
  <c r="J584" i="2"/>
  <c r="J689" i="2"/>
  <c r="J785" i="2"/>
  <c r="J879" i="2"/>
  <c r="J242" i="2"/>
  <c r="E218" i="2" l="1"/>
  <c r="F218" i="2"/>
  <c r="E62" i="2"/>
  <c r="F62" i="2"/>
  <c r="F521" i="2"/>
  <c r="E521" i="2"/>
  <c r="F258" i="2"/>
  <c r="E258" i="2"/>
  <c r="F511" i="2"/>
  <c r="E511" i="2"/>
  <c r="E17" i="2"/>
  <c r="F17" i="2"/>
  <c r="F895" i="2"/>
  <c r="E895" i="2"/>
  <c r="E514" i="2"/>
  <c r="F514" i="2"/>
  <c r="F450" i="2"/>
  <c r="E450" i="2"/>
  <c r="F155" i="2"/>
  <c r="E155" i="2"/>
  <c r="F173" i="2"/>
  <c r="E173" i="2"/>
  <c r="F191" i="2"/>
  <c r="E191" i="2"/>
  <c r="F209" i="2"/>
  <c r="E209" i="2"/>
  <c r="F103" i="2"/>
  <c r="E103" i="2"/>
  <c r="F907" i="2"/>
  <c r="E907" i="2"/>
  <c r="E157" i="2"/>
  <c r="F157" i="2"/>
  <c r="F750" i="2"/>
  <c r="E750" i="2"/>
  <c r="F892" i="2"/>
  <c r="E892" i="2"/>
  <c r="F56" i="2"/>
  <c r="E56" i="2"/>
  <c r="F106" i="2"/>
  <c r="E106" i="2"/>
  <c r="E76" i="2"/>
  <c r="F76" i="2"/>
  <c r="E458" i="2"/>
  <c r="F458" i="2"/>
  <c r="F118" i="2"/>
  <c r="E118" i="2"/>
  <c r="F775" i="2"/>
  <c r="E775" i="2"/>
  <c r="F792" i="2"/>
  <c r="E792" i="2"/>
  <c r="F809" i="2"/>
  <c r="E809" i="2"/>
  <c r="E709" i="2"/>
  <c r="F709" i="2"/>
  <c r="E596" i="2"/>
  <c r="F596" i="2"/>
  <c r="F787" i="2"/>
  <c r="E787" i="2"/>
  <c r="F275" i="2"/>
  <c r="E275" i="2"/>
  <c r="E19" i="2"/>
  <c r="F19" i="2"/>
  <c r="E783" i="2"/>
  <c r="F783" i="2"/>
  <c r="E637" i="2"/>
  <c r="F637" i="2"/>
  <c r="F439" i="2"/>
  <c r="E439" i="2"/>
  <c r="F455" i="2"/>
  <c r="E455" i="2"/>
  <c r="F918" i="2"/>
  <c r="E918" i="2"/>
  <c r="E77" i="2"/>
  <c r="F77" i="2"/>
  <c r="F705" i="2"/>
  <c r="E705" i="2"/>
  <c r="F187" i="2"/>
  <c r="E187" i="2"/>
  <c r="E430" i="2"/>
  <c r="F430" i="2"/>
  <c r="F135" i="2"/>
  <c r="E135" i="2"/>
  <c r="F791" i="2"/>
  <c r="E791" i="2"/>
  <c r="E3" i="2"/>
  <c r="F3" i="2"/>
  <c r="E689" i="2"/>
  <c r="F689" i="2"/>
  <c r="F301" i="2"/>
  <c r="E301" i="2"/>
  <c r="F887" i="2"/>
  <c r="E887" i="2"/>
  <c r="F204" i="2"/>
  <c r="E204" i="2"/>
  <c r="E697" i="2"/>
  <c r="F697" i="2"/>
  <c r="F608" i="2"/>
  <c r="E608" i="2"/>
  <c r="F505" i="2"/>
  <c r="E505" i="2"/>
  <c r="E477" i="2"/>
  <c r="F477" i="2"/>
  <c r="F225" i="2"/>
  <c r="E225" i="2"/>
  <c r="E75" i="2"/>
  <c r="F75" i="2"/>
  <c r="F737" i="2"/>
  <c r="E737" i="2"/>
  <c r="F447" i="2"/>
  <c r="E447" i="2"/>
  <c r="F152" i="2"/>
  <c r="E152" i="2"/>
  <c r="E165" i="2"/>
  <c r="F165" i="2"/>
  <c r="F755" i="2"/>
  <c r="E755" i="2"/>
  <c r="F929" i="2"/>
  <c r="E929" i="2"/>
  <c r="E786" i="2"/>
  <c r="F786" i="2"/>
  <c r="F706" i="2"/>
  <c r="E706" i="2"/>
  <c r="F622" i="2"/>
  <c r="E622" i="2"/>
  <c r="F686" i="2"/>
  <c r="E686" i="2"/>
  <c r="E891" i="2"/>
  <c r="F891" i="2"/>
  <c r="F862" i="2"/>
  <c r="E862" i="2"/>
  <c r="F144" i="2"/>
  <c r="E144" i="2"/>
  <c r="E374" i="2"/>
  <c r="F374" i="2"/>
  <c r="F74" i="2"/>
  <c r="E74" i="2"/>
  <c r="F736" i="2"/>
  <c r="E736" i="2"/>
  <c r="E753" i="2"/>
  <c r="F753" i="2"/>
  <c r="E917" i="2"/>
  <c r="F917" i="2"/>
  <c r="F464" i="2"/>
  <c r="E464" i="2"/>
  <c r="F299" i="2"/>
  <c r="E299" i="2"/>
  <c r="F265" i="2"/>
  <c r="E265" i="2"/>
  <c r="F631" i="2"/>
  <c r="E631" i="2"/>
  <c r="F796" i="2"/>
  <c r="E796" i="2"/>
  <c r="F748" i="2"/>
  <c r="E748" i="2"/>
  <c r="F806" i="2"/>
  <c r="E806" i="2"/>
  <c r="E123" i="2"/>
  <c r="F123" i="2"/>
  <c r="E559" i="2"/>
  <c r="F559" i="2"/>
  <c r="F684" i="2"/>
  <c r="E684" i="2"/>
  <c r="F701" i="2"/>
  <c r="E701" i="2"/>
  <c r="E409" i="2"/>
  <c r="F409" i="2"/>
  <c r="F111" i="2"/>
  <c r="E111" i="2"/>
  <c r="E133" i="2"/>
  <c r="F133" i="2"/>
  <c r="E20" i="2"/>
  <c r="F20" i="2"/>
  <c r="F467" i="2"/>
  <c r="E467" i="2"/>
  <c r="F557" i="2"/>
  <c r="E557" i="2"/>
  <c r="F384" i="2"/>
  <c r="E384" i="2"/>
  <c r="E240" i="2"/>
  <c r="F240" i="2"/>
  <c r="E328" i="2"/>
  <c r="F328" i="2"/>
  <c r="F556" i="2"/>
  <c r="E556" i="2"/>
  <c r="F742" i="2"/>
  <c r="E742" i="2"/>
  <c r="F909" i="2"/>
  <c r="E909" i="2"/>
  <c r="F183" i="2"/>
  <c r="E183" i="2"/>
  <c r="F383" i="2"/>
  <c r="E383" i="2"/>
  <c r="F382" i="2"/>
  <c r="E382" i="2"/>
  <c r="E658" i="2"/>
  <c r="F658" i="2"/>
  <c r="F577" i="2"/>
  <c r="E577" i="2"/>
  <c r="F854" i="2"/>
  <c r="E854" i="2"/>
  <c r="F346" i="2"/>
  <c r="E346" i="2"/>
  <c r="F800" i="2"/>
  <c r="E800" i="2"/>
  <c r="F285" i="2"/>
  <c r="E285" i="2"/>
  <c r="F894" i="2"/>
  <c r="E894" i="2"/>
  <c r="F893" i="2"/>
  <c r="E893" i="2"/>
  <c r="F942" i="2"/>
  <c r="E942" i="2"/>
  <c r="F538" i="2"/>
  <c r="E538" i="2"/>
  <c r="F78" i="2"/>
  <c r="E78" i="2"/>
  <c r="F855" i="2"/>
  <c r="E855" i="2"/>
  <c r="F316" i="2"/>
  <c r="E316" i="2"/>
  <c r="F141" i="2"/>
  <c r="E141" i="2"/>
  <c r="E140" i="2"/>
  <c r="F140" i="2"/>
  <c r="F619" i="2"/>
  <c r="E619" i="2"/>
  <c r="F162" i="2"/>
  <c r="E162" i="2"/>
  <c r="F945" i="2"/>
  <c r="E945" i="2"/>
  <c r="E80" i="2"/>
  <c r="F80" i="2"/>
  <c r="F592" i="2"/>
  <c r="E592" i="2"/>
  <c r="F129" i="2"/>
  <c r="E129" i="2"/>
  <c r="E825" i="2"/>
  <c r="F825" i="2"/>
  <c r="E318" i="2"/>
  <c r="F318" i="2"/>
  <c r="F630" i="2"/>
  <c r="E630" i="2"/>
  <c r="F715" i="2"/>
  <c r="E715" i="2"/>
  <c r="F278" i="2"/>
  <c r="E278" i="2"/>
  <c r="E472" i="2"/>
  <c r="F472" i="2"/>
  <c r="E156" i="2"/>
  <c r="F156" i="2"/>
  <c r="F794" i="2"/>
  <c r="E794" i="2"/>
  <c r="F490" i="2"/>
  <c r="E490" i="2"/>
  <c r="E174" i="2"/>
  <c r="F174" i="2"/>
  <c r="F811" i="2"/>
  <c r="E811" i="2"/>
  <c r="E508" i="2"/>
  <c r="F508" i="2"/>
  <c r="F192" i="2"/>
  <c r="E192" i="2"/>
  <c r="F828" i="2"/>
  <c r="E828" i="2"/>
  <c r="E526" i="2"/>
  <c r="F526" i="2"/>
  <c r="F210" i="2"/>
  <c r="E210" i="2"/>
  <c r="F845" i="2"/>
  <c r="E845" i="2"/>
  <c r="F544" i="2"/>
  <c r="E544" i="2"/>
  <c r="F231" i="2"/>
  <c r="E231" i="2"/>
  <c r="F38" i="2"/>
  <c r="E38" i="2"/>
  <c r="E741" i="2"/>
  <c r="F741" i="2"/>
  <c r="F485" i="2"/>
  <c r="E485" i="2"/>
  <c r="E229" i="2"/>
  <c r="F229" i="2"/>
  <c r="F628" i="2"/>
  <c r="E628" i="2"/>
  <c r="E372" i="2"/>
  <c r="F372" i="2"/>
  <c r="E116" i="2"/>
  <c r="F116" i="2"/>
  <c r="F819" i="2"/>
  <c r="E819" i="2"/>
  <c r="F563" i="2"/>
  <c r="E563" i="2"/>
  <c r="E307" i="2"/>
  <c r="F307" i="2"/>
  <c r="F51" i="2"/>
  <c r="E51" i="2"/>
  <c r="F441" i="2"/>
  <c r="E441" i="2"/>
  <c r="F268" i="2"/>
  <c r="E268" i="2"/>
  <c r="F826" i="2"/>
  <c r="E826" i="2"/>
  <c r="E844" i="2"/>
  <c r="F844" i="2"/>
  <c r="E804" i="2"/>
  <c r="F804" i="2"/>
  <c r="F593" i="2"/>
  <c r="E593" i="2"/>
  <c r="E560" i="2"/>
  <c r="F560" i="2"/>
  <c r="F286" i="2"/>
  <c r="E286" i="2"/>
  <c r="F137" i="2"/>
  <c r="E137" i="2"/>
  <c r="F793" i="2"/>
  <c r="E793" i="2"/>
  <c r="F810" i="2"/>
  <c r="E810" i="2"/>
  <c r="E827" i="2"/>
  <c r="F827" i="2"/>
  <c r="F22" i="2"/>
  <c r="E22" i="2"/>
  <c r="E469" i="2"/>
  <c r="F469" i="2"/>
  <c r="E612" i="2"/>
  <c r="F612" i="2"/>
  <c r="F100" i="2"/>
  <c r="E100" i="2"/>
  <c r="F803" i="2"/>
  <c r="E803" i="2"/>
  <c r="E547" i="2"/>
  <c r="F547" i="2"/>
  <c r="E291" i="2"/>
  <c r="F291" i="2"/>
  <c r="E35" i="2"/>
  <c r="F35" i="2"/>
  <c r="E326" i="2"/>
  <c r="F326" i="2"/>
  <c r="F158" i="2"/>
  <c r="E158" i="2"/>
  <c r="E802" i="2"/>
  <c r="F802" i="2"/>
  <c r="F770" i="2"/>
  <c r="E770" i="2"/>
  <c r="E15" i="2"/>
  <c r="F15" i="2"/>
  <c r="F45" i="2"/>
  <c r="E45" i="2"/>
  <c r="F936" i="2"/>
  <c r="E936" i="2"/>
  <c r="F230" i="2"/>
  <c r="E230" i="2"/>
  <c r="F431" i="2"/>
  <c r="E431" i="2"/>
  <c r="E136" i="2"/>
  <c r="F136" i="2"/>
  <c r="E154" i="2"/>
  <c r="F154" i="2"/>
  <c r="F172" i="2"/>
  <c r="E172" i="2"/>
  <c r="F190" i="2"/>
  <c r="E190" i="2"/>
  <c r="E453" i="2"/>
  <c r="F453" i="2"/>
  <c r="F340" i="2"/>
  <c r="E340" i="2"/>
  <c r="F785" i="2"/>
  <c r="E785" i="2"/>
  <c r="F416" i="2"/>
  <c r="E416" i="2"/>
  <c r="F34" i="2"/>
  <c r="E34" i="2"/>
  <c r="F263" i="2"/>
  <c r="E263" i="2"/>
  <c r="F747" i="2"/>
  <c r="E747" i="2"/>
  <c r="E657" i="2"/>
  <c r="F657" i="2"/>
  <c r="F537" i="2"/>
  <c r="E537" i="2"/>
  <c r="F912" i="2"/>
  <c r="E912" i="2"/>
  <c r="F203" i="2"/>
  <c r="E203" i="2"/>
  <c r="E412" i="2"/>
  <c r="F412" i="2"/>
  <c r="F756" i="2"/>
  <c r="E756" i="2"/>
  <c r="F466" i="2"/>
  <c r="E466" i="2"/>
  <c r="F487" i="2"/>
  <c r="E487" i="2"/>
  <c r="F687" i="2"/>
  <c r="E687" i="2"/>
  <c r="F524" i="2"/>
  <c r="E524" i="2"/>
  <c r="F380" i="2"/>
  <c r="E380" i="2"/>
  <c r="F704" i="2"/>
  <c r="E704" i="2"/>
  <c r="F423" i="2"/>
  <c r="E423" i="2"/>
  <c r="E820" i="2"/>
  <c r="F820" i="2"/>
  <c r="F703" i="2"/>
  <c r="E703" i="2"/>
  <c r="F655" i="2"/>
  <c r="E655" i="2"/>
  <c r="E160" i="2"/>
  <c r="F160" i="2"/>
  <c r="F411" i="2"/>
  <c r="E411" i="2"/>
  <c r="F429" i="2"/>
  <c r="E429" i="2"/>
  <c r="E134" i="2"/>
  <c r="F134" i="2"/>
  <c r="E677" i="2"/>
  <c r="F677" i="2"/>
  <c r="F308" i="2"/>
  <c r="E308" i="2"/>
  <c r="F582" i="2"/>
  <c r="E582" i="2"/>
  <c r="F414" i="2"/>
  <c r="E414" i="2"/>
  <c r="E321" i="2"/>
  <c r="F321" i="2"/>
  <c r="F654" i="2"/>
  <c r="E654" i="2"/>
  <c r="F818" i="2"/>
  <c r="E818" i="2"/>
  <c r="F798" i="2"/>
  <c r="E798" i="2"/>
  <c r="E14" i="2"/>
  <c r="F14" i="2"/>
  <c r="F609" i="2"/>
  <c r="E609" i="2"/>
  <c r="E591" i="2"/>
  <c r="F591" i="2"/>
  <c r="F702" i="2"/>
  <c r="E702" i="2"/>
  <c r="F410" i="2"/>
  <c r="E410" i="2"/>
  <c r="F112" i="2"/>
  <c r="E112" i="2"/>
  <c r="F130" i="2"/>
  <c r="E130" i="2"/>
  <c r="E405" i="2"/>
  <c r="F405" i="2"/>
  <c r="E548" i="2"/>
  <c r="F548" i="2"/>
  <c r="E292" i="2"/>
  <c r="F292" i="2"/>
  <c r="E36" i="2"/>
  <c r="F36" i="2"/>
  <c r="F739" i="2"/>
  <c r="E739" i="2"/>
  <c r="F483" i="2"/>
  <c r="E483" i="2"/>
  <c r="F227" i="2"/>
  <c r="E227" i="2"/>
  <c r="E474" i="2"/>
  <c r="F474" i="2"/>
  <c r="F838" i="2"/>
  <c r="E838" i="2"/>
  <c r="E690" i="2"/>
  <c r="F690" i="2"/>
  <c r="F680" i="2"/>
  <c r="E680" i="2"/>
  <c r="F598" i="2"/>
  <c r="E598" i="2"/>
  <c r="E438" i="2"/>
  <c r="F438" i="2"/>
  <c r="E454" i="2"/>
  <c r="F454" i="2"/>
  <c r="F418" i="2"/>
  <c r="E418" i="2"/>
  <c r="F457" i="2"/>
  <c r="E457" i="2"/>
  <c r="E31" i="2"/>
  <c r="F31" i="2"/>
  <c r="F391" i="2"/>
  <c r="E391" i="2"/>
  <c r="F92" i="2"/>
  <c r="E92" i="2"/>
  <c r="F901" i="2"/>
  <c r="E901" i="2"/>
  <c r="F532" i="2"/>
  <c r="E532" i="2"/>
  <c r="F354" i="2"/>
  <c r="E354" i="2"/>
  <c r="F184" i="2"/>
  <c r="E184" i="2"/>
  <c r="F206" i="2"/>
  <c r="E206" i="2"/>
  <c r="F121" i="2"/>
  <c r="E121" i="2"/>
  <c r="F481" i="2"/>
  <c r="E481" i="2"/>
  <c r="F337" i="2"/>
  <c r="E337" i="2"/>
  <c r="F698" i="2"/>
  <c r="E698" i="2"/>
  <c r="E422" i="2"/>
  <c r="F422" i="2"/>
  <c r="F816" i="2"/>
  <c r="E816" i="2"/>
  <c r="E575" i="2"/>
  <c r="F575" i="2"/>
  <c r="F535" i="2"/>
  <c r="E535" i="2"/>
  <c r="E11" i="2"/>
  <c r="F11" i="2"/>
  <c r="E351" i="2"/>
  <c r="F351" i="2"/>
  <c r="F369" i="2"/>
  <c r="E369" i="2"/>
  <c r="E390" i="2"/>
  <c r="F390" i="2"/>
  <c r="F408" i="2"/>
  <c r="E408" i="2"/>
  <c r="E885" i="2"/>
  <c r="F885" i="2"/>
  <c r="E373" i="2"/>
  <c r="F373" i="2"/>
  <c r="F516" i="2"/>
  <c r="E516" i="2"/>
  <c r="F260" i="2"/>
  <c r="E260" i="2"/>
  <c r="F4" i="2"/>
  <c r="E4" i="2"/>
  <c r="E707" i="2"/>
  <c r="F707" i="2"/>
  <c r="F451" i="2"/>
  <c r="E451" i="2"/>
  <c r="F195" i="2"/>
  <c r="E195" i="2"/>
  <c r="E241" i="2"/>
  <c r="F241" i="2"/>
  <c r="E239" i="2"/>
  <c r="F239" i="2"/>
  <c r="E442" i="2"/>
  <c r="F442" i="2"/>
  <c r="E660" i="2"/>
  <c r="F660" i="2"/>
  <c r="F834" i="2"/>
  <c r="E834" i="2"/>
  <c r="E63" i="2"/>
  <c r="F63" i="2"/>
  <c r="F274" i="2"/>
  <c r="E274" i="2"/>
  <c r="E475" i="2"/>
  <c r="F475" i="2"/>
  <c r="E496" i="2"/>
  <c r="F496" i="2"/>
  <c r="F150" i="2"/>
  <c r="E150" i="2"/>
  <c r="E296" i="2"/>
  <c r="F296" i="2"/>
  <c r="F576" i="2"/>
  <c r="E576" i="2"/>
  <c r="E88" i="2"/>
  <c r="F88" i="2"/>
  <c r="E542" i="2"/>
  <c r="F542" i="2"/>
  <c r="E57" i="2"/>
  <c r="F57" i="2"/>
  <c r="F398" i="2"/>
  <c r="E398" i="2"/>
  <c r="E480" i="2"/>
  <c r="F480" i="2"/>
  <c r="F746" i="2"/>
  <c r="E746" i="2"/>
  <c r="F305" i="2"/>
  <c r="E305" i="2"/>
  <c r="F463" i="2"/>
  <c r="E463" i="2"/>
  <c r="E633" i="2"/>
  <c r="F633" i="2"/>
  <c r="F652" i="2"/>
  <c r="E652" i="2"/>
  <c r="F621" i="2"/>
  <c r="E621" i="2"/>
  <c r="F817" i="2"/>
  <c r="E817" i="2"/>
  <c r="F395" i="2"/>
  <c r="E395" i="2"/>
  <c r="F90" i="2"/>
  <c r="E90" i="2"/>
  <c r="F426" i="2"/>
  <c r="E426" i="2"/>
  <c r="F790" i="2"/>
  <c r="E790" i="2"/>
  <c r="F362" i="2"/>
  <c r="E362" i="2"/>
  <c r="F178" i="2"/>
  <c r="E178" i="2"/>
  <c r="F543" i="2"/>
  <c r="E543" i="2"/>
  <c r="E24" i="2"/>
  <c r="F24" i="2"/>
  <c r="E911" i="2"/>
  <c r="F911" i="2"/>
  <c r="F503" i="2"/>
  <c r="E503" i="2"/>
  <c r="F41" i="2"/>
  <c r="E41" i="2"/>
  <c r="E314" i="2"/>
  <c r="F314" i="2"/>
  <c r="F940" i="2"/>
  <c r="E940" i="2"/>
  <c r="F648" i="2"/>
  <c r="E648" i="2"/>
  <c r="F332" i="2"/>
  <c r="E332" i="2"/>
  <c r="F10" i="2"/>
  <c r="E10" i="2"/>
  <c r="F665" i="2"/>
  <c r="E665" i="2"/>
  <c r="F350" i="2"/>
  <c r="E350" i="2"/>
  <c r="F29" i="2"/>
  <c r="E29" i="2"/>
  <c r="E682" i="2"/>
  <c r="F682" i="2"/>
  <c r="E368" i="2"/>
  <c r="F368" i="2"/>
  <c r="E48" i="2"/>
  <c r="F48" i="2"/>
  <c r="F699" i="2"/>
  <c r="E699" i="2"/>
  <c r="E386" i="2"/>
  <c r="F386" i="2"/>
  <c r="F71" i="2"/>
  <c r="E71" i="2"/>
  <c r="E869" i="2"/>
  <c r="F869" i="2"/>
  <c r="E613" i="2"/>
  <c r="F613" i="2"/>
  <c r="E357" i="2"/>
  <c r="F357" i="2"/>
  <c r="E101" i="2"/>
  <c r="F101" i="2"/>
  <c r="F500" i="2"/>
  <c r="E500" i="2"/>
  <c r="F244" i="2"/>
  <c r="E244" i="2"/>
  <c r="E947" i="2"/>
  <c r="F947" i="2"/>
  <c r="F691" i="2"/>
  <c r="E691" i="2"/>
  <c r="E435" i="2"/>
  <c r="F435" i="2"/>
  <c r="E179" i="2"/>
  <c r="F179" i="2"/>
  <c r="E126" i="2"/>
  <c r="F126" i="2"/>
  <c r="F124" i="2"/>
  <c r="E124" i="2"/>
  <c r="F327" i="2"/>
  <c r="E327" i="2"/>
  <c r="F555" i="2"/>
  <c r="E555" i="2"/>
  <c r="E740" i="2"/>
  <c r="F740" i="2"/>
  <c r="E908" i="2"/>
  <c r="F908" i="2"/>
  <c r="E159" i="2"/>
  <c r="F159" i="2"/>
  <c r="E360" i="2"/>
  <c r="F360" i="2"/>
  <c r="F381" i="2"/>
  <c r="E381" i="2"/>
  <c r="F61" i="2"/>
  <c r="E61" i="2"/>
  <c r="E264" i="2"/>
  <c r="F264" i="2"/>
  <c r="E552" i="2"/>
  <c r="F552" i="2"/>
  <c r="F59" i="2"/>
  <c r="E59" i="2"/>
  <c r="F486" i="2"/>
  <c r="E486" i="2"/>
  <c r="F23" i="2"/>
  <c r="E23" i="2"/>
  <c r="F342" i="2"/>
  <c r="E342" i="2"/>
  <c r="E424" i="2"/>
  <c r="F424" i="2"/>
  <c r="F722" i="2"/>
  <c r="E722" i="2"/>
  <c r="F281" i="2"/>
  <c r="E281" i="2"/>
  <c r="F407" i="2"/>
  <c r="E407" i="2"/>
  <c r="F925" i="2"/>
  <c r="E925" i="2"/>
  <c r="F599" i="2"/>
  <c r="E599" i="2"/>
  <c r="F571" i="2"/>
  <c r="E571" i="2"/>
  <c r="F795" i="2"/>
  <c r="E795" i="2"/>
  <c r="F363" i="2"/>
  <c r="E363" i="2"/>
  <c r="F731" i="2"/>
  <c r="E731" i="2"/>
  <c r="F375" i="2"/>
  <c r="E375" i="2"/>
  <c r="E766" i="2"/>
  <c r="F766" i="2"/>
  <c r="F335" i="2"/>
  <c r="E335" i="2"/>
  <c r="F898" i="2"/>
  <c r="E898" i="2"/>
  <c r="F519" i="2"/>
  <c r="E519" i="2"/>
  <c r="F896" i="2"/>
  <c r="E896" i="2"/>
  <c r="E889" i="2"/>
  <c r="F889" i="2"/>
  <c r="E476" i="2"/>
  <c r="F476" i="2"/>
  <c r="F12" i="2"/>
  <c r="E12" i="2"/>
  <c r="F295" i="2"/>
  <c r="E295" i="2"/>
  <c r="F922" i="2"/>
  <c r="E922" i="2"/>
  <c r="E626" i="2"/>
  <c r="F626" i="2"/>
  <c r="E313" i="2"/>
  <c r="F313" i="2"/>
  <c r="E939" i="2"/>
  <c r="F939" i="2"/>
  <c r="F647" i="2"/>
  <c r="E647" i="2"/>
  <c r="F331" i="2"/>
  <c r="E331" i="2"/>
  <c r="E9" i="2"/>
  <c r="F9" i="2"/>
  <c r="F664" i="2"/>
  <c r="E664" i="2"/>
  <c r="E349" i="2"/>
  <c r="F349" i="2"/>
  <c r="F28" i="2"/>
  <c r="E28" i="2"/>
  <c r="E681" i="2"/>
  <c r="F681" i="2"/>
  <c r="E367" i="2"/>
  <c r="F367" i="2"/>
  <c r="F47" i="2"/>
  <c r="E47" i="2"/>
  <c r="E853" i="2"/>
  <c r="F853" i="2"/>
  <c r="E597" i="2"/>
  <c r="F597" i="2"/>
  <c r="E341" i="2"/>
  <c r="F341" i="2"/>
  <c r="E85" i="2"/>
  <c r="F85" i="2"/>
  <c r="E484" i="2"/>
  <c r="F484" i="2"/>
  <c r="F228" i="2"/>
  <c r="E228" i="2"/>
  <c r="F931" i="2"/>
  <c r="E931" i="2"/>
  <c r="F675" i="2"/>
  <c r="E675" i="2"/>
  <c r="F419" i="2"/>
  <c r="E419" i="2"/>
  <c r="E163" i="2"/>
  <c r="F163" i="2"/>
  <c r="E242" i="2"/>
  <c r="F242" i="2"/>
  <c r="E639" i="2"/>
  <c r="F639" i="2"/>
  <c r="F267" i="2"/>
  <c r="E267" i="2"/>
  <c r="F319" i="2"/>
  <c r="E319" i="2"/>
  <c r="E914" i="2"/>
  <c r="F914" i="2"/>
  <c r="E142" i="2"/>
  <c r="F142" i="2"/>
  <c r="E138" i="2"/>
  <c r="F138" i="2"/>
  <c r="F105" i="2"/>
  <c r="E105" i="2"/>
  <c r="F692" i="2"/>
  <c r="E692" i="2"/>
  <c r="E776" i="2"/>
  <c r="F776" i="2"/>
  <c r="F879" i="2"/>
  <c r="E879" i="2"/>
  <c r="E734" i="2"/>
  <c r="F734" i="2"/>
  <c r="E495" i="2"/>
  <c r="F495" i="2"/>
  <c r="E287" i="2"/>
  <c r="F287" i="2"/>
  <c r="E479" i="2"/>
  <c r="F479" i="2"/>
  <c r="E708" i="2"/>
  <c r="F708" i="2"/>
  <c r="F561" i="2"/>
  <c r="E561" i="2"/>
  <c r="E536" i="2"/>
  <c r="F536" i="2"/>
  <c r="F669" i="2"/>
  <c r="E669" i="2"/>
  <c r="F758" i="2"/>
  <c r="E758" i="2"/>
  <c r="E932" i="2"/>
  <c r="F932" i="2"/>
  <c r="E814" i="2"/>
  <c r="F814" i="2"/>
  <c r="E462" i="2"/>
  <c r="F462" i="2"/>
  <c r="F728" i="2"/>
  <c r="E728" i="2"/>
  <c r="E726" i="2"/>
  <c r="F726" i="2"/>
  <c r="E782" i="2"/>
  <c r="F782" i="2"/>
  <c r="E941" i="2"/>
  <c r="F941" i="2"/>
  <c r="F504" i="2"/>
  <c r="E504" i="2"/>
  <c r="E399" i="2"/>
  <c r="F399" i="2"/>
  <c r="E95" i="2"/>
  <c r="F95" i="2"/>
  <c r="E114" i="2"/>
  <c r="F114" i="2"/>
  <c r="F774" i="2"/>
  <c r="E774" i="2"/>
  <c r="F97" i="2"/>
  <c r="E97" i="2"/>
  <c r="E880" i="2"/>
  <c r="F880" i="2"/>
  <c r="F752" i="2"/>
  <c r="E752" i="2"/>
  <c r="F674" i="2"/>
  <c r="E674" i="2"/>
  <c r="F732" i="2"/>
  <c r="E732" i="2"/>
  <c r="F913" i="2"/>
  <c r="E913" i="2"/>
  <c r="E890" i="2"/>
  <c r="F890" i="2"/>
  <c r="F176" i="2"/>
  <c r="E176" i="2"/>
  <c r="E393" i="2"/>
  <c r="F393" i="2"/>
  <c r="E94" i="2"/>
  <c r="F94" i="2"/>
  <c r="E754" i="2"/>
  <c r="F754" i="2"/>
  <c r="F465" i="2"/>
  <c r="E465" i="2"/>
  <c r="F421" i="2"/>
  <c r="E421" i="2"/>
  <c r="F52" i="2"/>
  <c r="E52" i="2"/>
  <c r="F584" i="2"/>
  <c r="E584" i="2"/>
  <c r="E186" i="2"/>
  <c r="F186" i="2"/>
  <c r="F807" i="2"/>
  <c r="E807" i="2"/>
  <c r="F177" i="2"/>
  <c r="E177" i="2"/>
  <c r="E651" i="2"/>
  <c r="F651" i="2"/>
  <c r="F553" i="2"/>
  <c r="E553" i="2"/>
  <c r="E478" i="2"/>
  <c r="F478" i="2"/>
  <c r="F445" i="2"/>
  <c r="E445" i="2"/>
  <c r="E81" i="2"/>
  <c r="F81" i="2"/>
  <c r="F55" i="2"/>
  <c r="E55" i="2"/>
  <c r="F719" i="2"/>
  <c r="E719" i="2"/>
  <c r="F428" i="2"/>
  <c r="E428" i="2"/>
  <c r="F446" i="2"/>
  <c r="E446" i="2"/>
  <c r="E661" i="2"/>
  <c r="F661" i="2"/>
  <c r="E149" i="2"/>
  <c r="F149" i="2"/>
  <c r="E65" i="2"/>
  <c r="F65" i="2"/>
  <c r="F711" i="2"/>
  <c r="E711" i="2"/>
  <c r="F145" i="2"/>
  <c r="E145" i="2"/>
  <c r="E572" i="2"/>
  <c r="F572" i="2"/>
  <c r="E578" i="2"/>
  <c r="F578" i="2"/>
  <c r="E868" i="2"/>
  <c r="F868" i="2"/>
  <c r="E840" i="2"/>
  <c r="F840" i="2"/>
  <c r="E120" i="2"/>
  <c r="F120" i="2"/>
  <c r="F352" i="2"/>
  <c r="E352" i="2"/>
  <c r="E50" i="2"/>
  <c r="F50" i="2"/>
  <c r="F718" i="2"/>
  <c r="E718" i="2"/>
  <c r="E427" i="2"/>
  <c r="F427" i="2"/>
  <c r="E389" i="2"/>
  <c r="F389" i="2"/>
  <c r="E276" i="2"/>
  <c r="F276" i="2"/>
  <c r="F723" i="2"/>
  <c r="E723" i="2"/>
  <c r="E211" i="2"/>
  <c r="F211" i="2"/>
  <c r="F910" i="2"/>
  <c r="E910" i="2"/>
  <c r="F610" i="2"/>
  <c r="E610" i="2"/>
  <c r="F603" i="2"/>
  <c r="E603" i="2"/>
  <c r="E82" i="2"/>
  <c r="F82" i="2"/>
  <c r="E768" i="2"/>
  <c r="F768" i="2"/>
  <c r="F89" i="2"/>
  <c r="E89" i="2"/>
  <c r="F841" i="2"/>
  <c r="E841" i="2"/>
  <c r="F482" i="2"/>
  <c r="E482" i="2"/>
  <c r="F759" i="2"/>
  <c r="E759" i="2"/>
  <c r="F935" i="2"/>
  <c r="E935" i="2"/>
  <c r="F333" i="2"/>
  <c r="E333" i="2"/>
  <c r="F30" i="2"/>
  <c r="E30" i="2"/>
  <c r="E49" i="2"/>
  <c r="F49" i="2"/>
  <c r="F72" i="2"/>
  <c r="E72" i="2"/>
  <c r="F91" i="2"/>
  <c r="E91" i="2"/>
  <c r="E629" i="2"/>
  <c r="F629" i="2"/>
  <c r="E117" i="2"/>
  <c r="F117" i="2"/>
  <c r="E934" i="2"/>
  <c r="F934" i="2"/>
  <c r="F440" i="2"/>
  <c r="E440" i="2"/>
  <c r="F832" i="2"/>
  <c r="E832" i="2"/>
  <c r="E127" i="2"/>
  <c r="F127" i="2"/>
  <c r="F927" i="2"/>
  <c r="E927" i="2"/>
  <c r="F520" i="2"/>
  <c r="E520" i="2"/>
  <c r="F459" i="2"/>
  <c r="E459" i="2"/>
  <c r="F283" i="2"/>
  <c r="E283" i="2"/>
  <c r="F696" i="2"/>
  <c r="E696" i="2"/>
  <c r="E353" i="2"/>
  <c r="F353" i="2"/>
  <c r="F512" i="2"/>
  <c r="E512" i="2"/>
  <c r="E336" i="2"/>
  <c r="F336" i="2"/>
  <c r="F284" i="2"/>
  <c r="E284" i="2"/>
  <c r="E303" i="2"/>
  <c r="F303" i="2"/>
  <c r="E492" i="2"/>
  <c r="F492" i="2"/>
  <c r="F861" i="2"/>
  <c r="E861" i="2"/>
  <c r="E589" i="2"/>
  <c r="F589" i="2"/>
  <c r="F904" i="2"/>
  <c r="E904" i="2"/>
  <c r="F294" i="2"/>
  <c r="E294" i="2"/>
  <c r="F625" i="2"/>
  <c r="E625" i="2"/>
  <c r="F938" i="2"/>
  <c r="E938" i="2"/>
  <c r="E330" i="2"/>
  <c r="F330" i="2"/>
  <c r="F663" i="2"/>
  <c r="E663" i="2"/>
  <c r="F27" i="2"/>
  <c r="E27" i="2"/>
  <c r="E581" i="2"/>
  <c r="F581" i="2"/>
  <c r="E69" i="2"/>
  <c r="F69" i="2"/>
  <c r="E212" i="2"/>
  <c r="F212" i="2"/>
  <c r="F659" i="2"/>
  <c r="E659" i="2"/>
  <c r="F147" i="2"/>
  <c r="E147" i="2"/>
  <c r="E784" i="2"/>
  <c r="F784" i="2"/>
  <c r="E98" i="2"/>
  <c r="F98" i="2"/>
  <c r="E530" i="2"/>
  <c r="F530" i="2"/>
  <c r="E733" i="2"/>
  <c r="F733" i="2"/>
  <c r="F888" i="2"/>
  <c r="E888" i="2"/>
  <c r="F146" i="2"/>
  <c r="E146" i="2"/>
  <c r="F801" i="2"/>
  <c r="E801" i="2"/>
  <c r="E600" i="2"/>
  <c r="F600" i="2"/>
  <c r="F306" i="2"/>
  <c r="E306" i="2"/>
  <c r="F222" i="2"/>
  <c r="E222" i="2"/>
  <c r="F262" i="2"/>
  <c r="E262" i="2"/>
  <c r="F456" i="2"/>
  <c r="E456" i="2"/>
  <c r="E304" i="2"/>
  <c r="F304" i="2"/>
  <c r="E257" i="2"/>
  <c r="F257" i="2"/>
  <c r="F279" i="2"/>
  <c r="E279" i="2"/>
  <c r="E460" i="2"/>
  <c r="F460" i="2"/>
  <c r="F839" i="2"/>
  <c r="E839" i="2"/>
  <c r="F570" i="2"/>
  <c r="E570" i="2"/>
  <c r="F886" i="2"/>
  <c r="E886" i="2"/>
  <c r="E272" i="2"/>
  <c r="F272" i="2"/>
  <c r="F606" i="2"/>
  <c r="E606" i="2"/>
  <c r="F920" i="2"/>
  <c r="E920" i="2"/>
  <c r="F311" i="2"/>
  <c r="E311" i="2"/>
  <c r="F642" i="2"/>
  <c r="E642" i="2"/>
  <c r="F764" i="2"/>
  <c r="E764" i="2"/>
  <c r="F930" i="2"/>
  <c r="E930" i="2"/>
  <c r="E415" i="2"/>
  <c r="F415" i="2"/>
  <c r="F813" i="2"/>
  <c r="E813" i="2"/>
  <c r="E808" i="2"/>
  <c r="F808" i="2"/>
  <c r="E831" i="2"/>
  <c r="F831" i="2"/>
  <c r="E461" i="2"/>
  <c r="F461" i="2"/>
  <c r="F87" i="2"/>
  <c r="E87" i="2"/>
  <c r="F343" i="2"/>
  <c r="E343" i="2"/>
  <c r="E168" i="2"/>
  <c r="F168" i="2"/>
  <c r="F650" i="2"/>
  <c r="E650" i="2"/>
  <c r="E198" i="2"/>
  <c r="F198" i="2"/>
  <c r="F946" i="2"/>
  <c r="E946" i="2"/>
  <c r="F397" i="2"/>
  <c r="E397" i="2"/>
  <c r="F721" i="2"/>
  <c r="E721" i="2"/>
  <c r="E656" i="2"/>
  <c r="F656" i="2"/>
  <c r="F694" i="2"/>
  <c r="E694" i="2"/>
  <c r="E948" i="2"/>
  <c r="E433" i="2"/>
  <c r="F433" i="2"/>
  <c r="F815" i="2"/>
  <c r="E815" i="2"/>
  <c r="F385" i="2"/>
  <c r="E385" i="2"/>
  <c r="F235" i="2"/>
  <c r="E235" i="2"/>
  <c r="F866" i="2"/>
  <c r="E866" i="2"/>
  <c r="E253" i="2"/>
  <c r="F253" i="2"/>
  <c r="F587" i="2"/>
  <c r="E587" i="2"/>
  <c r="E271" i="2"/>
  <c r="F271" i="2"/>
  <c r="F605" i="2"/>
  <c r="E605" i="2"/>
  <c r="F919" i="2"/>
  <c r="E919" i="2"/>
  <c r="F623" i="2"/>
  <c r="E623" i="2"/>
  <c r="E102" i="2"/>
  <c r="F102" i="2"/>
  <c r="E805" i="2"/>
  <c r="F805" i="2"/>
  <c r="E293" i="2"/>
  <c r="F293" i="2"/>
  <c r="F436" i="2"/>
  <c r="E436" i="2"/>
  <c r="F583" i="2"/>
  <c r="E583" i="2"/>
  <c r="F668" i="2"/>
  <c r="E668" i="2"/>
  <c r="E96" i="2"/>
  <c r="F96" i="2"/>
  <c r="F300" i="2"/>
  <c r="E300" i="2"/>
  <c r="F713" i="2"/>
  <c r="E713" i="2"/>
  <c r="E856" i="2"/>
  <c r="F856" i="2"/>
  <c r="F781" i="2"/>
  <c r="E781" i="2"/>
  <c r="E434" i="2"/>
  <c r="F434" i="2"/>
  <c r="E376" i="2"/>
  <c r="F376" i="2"/>
  <c r="F169" i="2"/>
  <c r="E169" i="2"/>
  <c r="F167" i="2"/>
  <c r="E167" i="2"/>
  <c r="E620" i="2"/>
  <c r="F620" i="2"/>
  <c r="E182" i="2"/>
  <c r="F182" i="2"/>
  <c r="E315" i="2"/>
  <c r="F315" i="2"/>
  <c r="E338" i="2"/>
  <c r="F338" i="2"/>
  <c r="F248" i="2"/>
  <c r="E248" i="2"/>
  <c r="F679" i="2"/>
  <c r="E679" i="2"/>
  <c r="F670" i="2"/>
  <c r="E670" i="2"/>
  <c r="E897" i="2"/>
  <c r="F897" i="2"/>
  <c r="F401" i="2"/>
  <c r="E401" i="2"/>
  <c r="F788" i="2"/>
  <c r="E788" i="2"/>
  <c r="F529" i="2"/>
  <c r="E529" i="2"/>
  <c r="E216" i="2"/>
  <c r="F216" i="2"/>
  <c r="F550" i="2"/>
  <c r="E550" i="2"/>
  <c r="F234" i="2"/>
  <c r="E234" i="2"/>
  <c r="F568" i="2"/>
  <c r="E568" i="2"/>
  <c r="E252" i="2"/>
  <c r="F252" i="2"/>
  <c r="F586" i="2"/>
  <c r="E586" i="2"/>
  <c r="E900" i="2"/>
  <c r="F900" i="2"/>
  <c r="F604" i="2"/>
  <c r="E604" i="2"/>
  <c r="F86" i="2"/>
  <c r="E86" i="2"/>
  <c r="F789" i="2"/>
  <c r="E789" i="2"/>
  <c r="E277" i="2"/>
  <c r="F277" i="2"/>
  <c r="E21" i="2"/>
  <c r="F21" i="2"/>
  <c r="F420" i="2"/>
  <c r="E420" i="2"/>
  <c r="E164" i="2"/>
  <c r="F164" i="2"/>
  <c r="F867" i="2"/>
  <c r="E867" i="2"/>
  <c r="E611" i="2"/>
  <c r="F611" i="2"/>
  <c r="E355" i="2"/>
  <c r="F355" i="2"/>
  <c r="E99" i="2"/>
  <c r="F99" i="2"/>
  <c r="F473" i="2"/>
  <c r="E473" i="2"/>
  <c r="E558" i="2"/>
  <c r="F558" i="2"/>
  <c r="F762" i="2"/>
  <c r="E762" i="2"/>
  <c r="E928" i="2"/>
  <c r="F928" i="2"/>
  <c r="E185" i="2"/>
  <c r="F185" i="2"/>
  <c r="F413" i="2"/>
  <c r="E413" i="2"/>
  <c r="F615" i="2"/>
  <c r="E615" i="2"/>
  <c r="F614" i="2"/>
  <c r="E614" i="2"/>
  <c r="E760" i="2"/>
  <c r="F760" i="2"/>
  <c r="E685" i="2"/>
  <c r="F685" i="2"/>
  <c r="E26" i="2"/>
  <c r="F26" i="2"/>
  <c r="F402" i="2"/>
  <c r="E402" i="2"/>
  <c r="E850" i="2"/>
  <c r="F850" i="2"/>
  <c r="F344" i="2"/>
  <c r="E344" i="2"/>
  <c r="E18" i="2"/>
  <c r="F18" i="2"/>
  <c r="F46" i="2"/>
  <c r="E46" i="2"/>
  <c r="F108" i="2"/>
  <c r="E108" i="2"/>
  <c r="F594" i="2"/>
  <c r="E594" i="2"/>
  <c r="E139" i="2"/>
  <c r="F139" i="2"/>
  <c r="F32" i="2"/>
  <c r="E32" i="2"/>
  <c r="E749" i="2"/>
  <c r="F749" i="2"/>
  <c r="E256" i="2"/>
  <c r="F256" i="2"/>
  <c r="F255" i="2"/>
  <c r="E255" i="2"/>
  <c r="F671" i="2"/>
  <c r="E671" i="2"/>
  <c r="F221" i="2"/>
  <c r="E221" i="2"/>
  <c r="F874" i="2"/>
  <c r="E874" i="2"/>
  <c r="F822" i="2"/>
  <c r="E822" i="2"/>
  <c r="F641" i="2"/>
  <c r="E641" i="2"/>
  <c r="F188" i="2"/>
  <c r="E188" i="2"/>
  <c r="F875" i="2"/>
  <c r="E875" i="2"/>
  <c r="E377" i="2"/>
  <c r="F377" i="2"/>
  <c r="F727" i="2"/>
  <c r="E727" i="2"/>
  <c r="F765" i="2"/>
  <c r="E765" i="2"/>
  <c r="E334" i="2"/>
  <c r="F334" i="2"/>
  <c r="E510" i="2"/>
  <c r="F510" i="2"/>
  <c r="E194" i="2"/>
  <c r="F194" i="2"/>
  <c r="F830" i="2"/>
  <c r="E830" i="2"/>
  <c r="E528" i="2"/>
  <c r="F528" i="2"/>
  <c r="F215" i="2"/>
  <c r="E215" i="2"/>
  <c r="F847" i="2"/>
  <c r="E847" i="2"/>
  <c r="E546" i="2"/>
  <c r="F546" i="2"/>
  <c r="E233" i="2"/>
  <c r="F233" i="2"/>
  <c r="F864" i="2"/>
  <c r="E864" i="2"/>
  <c r="F567" i="2"/>
  <c r="E567" i="2"/>
  <c r="E251" i="2"/>
  <c r="F251" i="2"/>
  <c r="F881" i="2"/>
  <c r="E881" i="2"/>
  <c r="F585" i="2"/>
  <c r="E585" i="2"/>
  <c r="E269" i="2"/>
  <c r="F269" i="2"/>
  <c r="F70" i="2"/>
  <c r="E70" i="2"/>
  <c r="E773" i="2"/>
  <c r="F773" i="2"/>
  <c r="F517" i="2"/>
  <c r="E517" i="2"/>
  <c r="E261" i="2"/>
  <c r="F261" i="2"/>
  <c r="E5" i="2"/>
  <c r="F5" i="2"/>
  <c r="F404" i="2"/>
  <c r="E404" i="2"/>
  <c r="F148" i="2"/>
  <c r="E148" i="2"/>
  <c r="F851" i="2"/>
  <c r="E851" i="2"/>
  <c r="F595" i="2"/>
  <c r="E595" i="2"/>
  <c r="E339" i="2"/>
  <c r="F339" i="2"/>
  <c r="E83" i="2"/>
  <c r="F83" i="2"/>
  <c r="F125" i="2"/>
  <c r="E125" i="2"/>
  <c r="F833" i="2"/>
  <c r="E833" i="2"/>
  <c r="E554" i="2"/>
  <c r="F554" i="2"/>
  <c r="F778" i="2"/>
  <c r="E778" i="2"/>
  <c r="E843" i="2"/>
  <c r="F843" i="2"/>
  <c r="E44" i="2"/>
  <c r="F44" i="2"/>
  <c r="F79" i="2"/>
  <c r="E79" i="2"/>
  <c r="E282" i="2"/>
  <c r="F282" i="2"/>
  <c r="F779" i="2"/>
  <c r="E779" i="2"/>
  <c r="F246" i="2"/>
  <c r="E246" i="2"/>
  <c r="F471" i="2"/>
  <c r="E471" i="2"/>
  <c r="F489" i="2"/>
  <c r="E489" i="2"/>
  <c r="F507" i="2"/>
  <c r="E507" i="2"/>
  <c r="F525" i="2"/>
  <c r="E525" i="2"/>
  <c r="E725" i="2"/>
  <c r="F725" i="2"/>
  <c r="E213" i="2"/>
  <c r="F213" i="2"/>
  <c r="E356" i="2"/>
  <c r="F356" i="2"/>
  <c r="F860" i="2"/>
  <c r="E860" i="2"/>
  <c r="F534" i="2"/>
  <c r="E534" i="2"/>
  <c r="E494" i="2"/>
  <c r="F494" i="2"/>
  <c r="F226" i="2"/>
  <c r="E226" i="2"/>
  <c r="F797" i="2"/>
  <c r="E797" i="2"/>
  <c r="E916" i="2"/>
  <c r="F916" i="2"/>
  <c r="F849" i="2"/>
  <c r="E849" i="2"/>
  <c r="F751" i="2"/>
  <c r="E751" i="2"/>
  <c r="E219" i="2"/>
  <c r="F219" i="2"/>
  <c r="F449" i="2"/>
  <c r="E449" i="2"/>
  <c r="E470" i="2"/>
  <c r="F470" i="2"/>
  <c r="E488" i="2"/>
  <c r="F488" i="2"/>
  <c r="F506" i="2"/>
  <c r="E506" i="2"/>
  <c r="E6" i="2"/>
  <c r="F6" i="2"/>
  <c r="E197" i="2"/>
  <c r="F197" i="2"/>
  <c r="E84" i="2"/>
  <c r="F84" i="2"/>
  <c r="E531" i="2"/>
  <c r="F531" i="2"/>
  <c r="F208" i="2"/>
  <c r="E208" i="2"/>
  <c r="F39" i="2"/>
  <c r="E39" i="2"/>
  <c r="F780" i="2"/>
  <c r="E780" i="2"/>
  <c r="E202" i="2"/>
  <c r="F202" i="2"/>
  <c r="E870" i="2"/>
  <c r="F870" i="2"/>
  <c r="F871" i="2"/>
  <c r="E871" i="2"/>
  <c r="F777" i="2"/>
  <c r="E777" i="2"/>
  <c r="F42" i="2"/>
  <c r="E42" i="2"/>
  <c r="F640" i="2"/>
  <c r="E640" i="2"/>
  <c r="F738" i="2"/>
  <c r="E738" i="2"/>
  <c r="F448" i="2"/>
  <c r="E448" i="2"/>
  <c r="E153" i="2"/>
  <c r="F153" i="2"/>
  <c r="F171" i="2"/>
  <c r="E171" i="2"/>
  <c r="F693" i="2"/>
  <c r="E693" i="2"/>
  <c r="F437" i="2"/>
  <c r="E437" i="2"/>
  <c r="E181" i="2"/>
  <c r="F181" i="2"/>
  <c r="E580" i="2"/>
  <c r="F580" i="2"/>
  <c r="F324" i="2"/>
  <c r="E324" i="2"/>
  <c r="F68" i="2"/>
  <c r="E68" i="2"/>
  <c r="F771" i="2"/>
  <c r="E771" i="2"/>
  <c r="F515" i="2"/>
  <c r="E515" i="2"/>
  <c r="F259" i="2"/>
  <c r="E259" i="2"/>
  <c r="F858" i="2"/>
  <c r="E858" i="2"/>
  <c r="E714" i="2"/>
  <c r="F714" i="2"/>
  <c r="E406" i="2"/>
  <c r="F406" i="2"/>
  <c r="F170" i="2"/>
  <c r="E170" i="2"/>
  <c r="F842" i="2"/>
  <c r="E842" i="2"/>
  <c r="E872" i="2"/>
  <c r="F872" i="2"/>
  <c r="E43" i="2"/>
  <c r="F43" i="2"/>
  <c r="F13" i="2"/>
  <c r="E13" i="2"/>
  <c r="E617" i="2"/>
  <c r="F617" i="2"/>
  <c r="E720" i="2"/>
  <c r="F720" i="2"/>
  <c r="E113" i="2"/>
  <c r="F113" i="2"/>
  <c r="F772" i="2"/>
  <c r="E772" i="2"/>
  <c r="E933" i="2"/>
  <c r="F933" i="2"/>
  <c r="E564" i="2"/>
  <c r="F564" i="2"/>
  <c r="F499" i="2"/>
  <c r="E499" i="2"/>
  <c r="F243" i="2"/>
  <c r="E243" i="2"/>
  <c r="F763" i="2"/>
  <c r="E763" i="2"/>
  <c r="F616" i="2"/>
  <c r="E616" i="2"/>
  <c r="F379" i="2"/>
  <c r="E379" i="2"/>
  <c r="F143" i="2"/>
  <c r="E143" i="2"/>
  <c r="E396" i="2"/>
  <c r="F396" i="2"/>
  <c r="F769" i="2"/>
  <c r="E769" i="2"/>
  <c r="F653" i="2"/>
  <c r="E653" i="2"/>
  <c r="F632" i="2"/>
  <c r="E632" i="2"/>
  <c r="E128" i="2"/>
  <c r="F128" i="2"/>
  <c r="F392" i="2"/>
  <c r="E392" i="2"/>
  <c r="F93" i="2"/>
  <c r="E93" i="2"/>
  <c r="F667" i="2"/>
  <c r="E667" i="2"/>
  <c r="F502" i="2"/>
  <c r="E502" i="2"/>
  <c r="F347" i="2"/>
  <c r="E347" i="2"/>
  <c r="F119" i="2"/>
  <c r="E119" i="2"/>
  <c r="F364" i="2"/>
  <c r="E364" i="2"/>
  <c r="E724" i="2"/>
  <c r="F724" i="2"/>
  <c r="E573" i="2"/>
  <c r="F573" i="2"/>
  <c r="F602" i="2"/>
  <c r="E602" i="2"/>
  <c r="E104" i="2"/>
  <c r="F104" i="2"/>
  <c r="F370" i="2"/>
  <c r="E370" i="2"/>
  <c r="F73" i="2"/>
  <c r="E73" i="2"/>
  <c r="E735" i="2"/>
  <c r="F735" i="2"/>
  <c r="E645" i="2"/>
  <c r="F645" i="2"/>
  <c r="F359" i="2"/>
  <c r="E359" i="2"/>
  <c r="E761" i="2"/>
  <c r="F761" i="2"/>
  <c r="F590" i="2"/>
  <c r="E590" i="2"/>
  <c r="E320" i="2"/>
  <c r="F320" i="2"/>
  <c r="F601" i="2"/>
  <c r="E601" i="2"/>
  <c r="F539" i="2"/>
  <c r="E539" i="2"/>
  <c r="E522" i="2"/>
  <c r="F522" i="2"/>
  <c r="F673" i="2"/>
  <c r="E673" i="2"/>
  <c r="F635" i="2"/>
  <c r="E635" i="2"/>
  <c r="E394" i="2"/>
  <c r="F394" i="2"/>
  <c r="E58" i="2"/>
  <c r="F58" i="2"/>
  <c r="E66" i="2"/>
  <c r="F66" i="2"/>
  <c r="F666" i="2"/>
  <c r="E666" i="2"/>
  <c r="F683" i="2"/>
  <c r="E683" i="2"/>
  <c r="F700" i="2"/>
  <c r="E700" i="2"/>
  <c r="F717" i="2"/>
  <c r="E717" i="2"/>
  <c r="F878" i="2"/>
  <c r="E878" i="2"/>
  <c r="E217" i="2"/>
  <c r="F217" i="2"/>
  <c r="E638" i="2"/>
  <c r="F638" i="2"/>
  <c r="F40" i="2"/>
  <c r="E40" i="2"/>
  <c r="F266" i="2"/>
  <c r="E266" i="2"/>
  <c r="F237" i="2"/>
  <c r="E237" i="2"/>
  <c r="E25" i="2"/>
  <c r="F25" i="2"/>
  <c r="F823" i="2"/>
  <c r="E823" i="2"/>
  <c r="F365" i="2"/>
  <c r="E365" i="2"/>
  <c r="F249" i="2"/>
  <c r="E249" i="2"/>
  <c r="E729" i="2"/>
  <c r="F729" i="2"/>
  <c r="E513" i="2"/>
  <c r="F513" i="2"/>
  <c r="E767" i="2"/>
  <c r="F767" i="2"/>
  <c r="E205" i="2"/>
  <c r="F205" i="2"/>
  <c r="E744" i="2"/>
  <c r="F744" i="2"/>
  <c r="E730" i="2"/>
  <c r="F730" i="2"/>
  <c r="F518" i="2"/>
  <c r="E518" i="2"/>
  <c r="E444" i="2"/>
  <c r="F444" i="2"/>
  <c r="F273" i="2"/>
  <c r="E273" i="2"/>
  <c r="F607" i="2"/>
  <c r="E607" i="2"/>
  <c r="E921" i="2"/>
  <c r="F921" i="2"/>
  <c r="F312" i="2"/>
  <c r="E312" i="2"/>
  <c r="F646" i="2"/>
  <c r="E646" i="2"/>
  <c r="F8" i="2"/>
  <c r="E8" i="2"/>
  <c r="E348" i="2"/>
  <c r="F348" i="2"/>
  <c r="E837" i="2"/>
  <c r="F837" i="2"/>
  <c r="E325" i="2"/>
  <c r="F325" i="2"/>
  <c r="F468" i="2"/>
  <c r="E468" i="2"/>
  <c r="F915" i="2"/>
  <c r="E915" i="2"/>
  <c r="F403" i="2"/>
  <c r="E403" i="2"/>
  <c r="F859" i="2"/>
  <c r="E859" i="2"/>
  <c r="E322" i="2"/>
  <c r="F322" i="2"/>
  <c r="F906" i="2"/>
  <c r="E906" i="2"/>
  <c r="F151" i="2"/>
  <c r="E151" i="2"/>
  <c r="F877" i="2"/>
  <c r="E877" i="2"/>
  <c r="E493" i="2"/>
  <c r="F493" i="2"/>
  <c r="E432" i="2"/>
  <c r="F432" i="2"/>
  <c r="E224" i="2"/>
  <c r="F224" i="2"/>
  <c r="F672" i="2"/>
  <c r="E672" i="2"/>
  <c r="F297" i="2"/>
  <c r="E297" i="2"/>
  <c r="E425" i="2"/>
  <c r="F425" i="2"/>
  <c r="E745" i="2"/>
  <c r="F745" i="2"/>
  <c r="E876" i="2"/>
  <c r="F876" i="2"/>
  <c r="F716" i="2"/>
  <c r="E716" i="2"/>
  <c r="E236" i="2"/>
  <c r="F236" i="2"/>
  <c r="F923" i="2"/>
  <c r="E923" i="2"/>
  <c r="F417" i="2"/>
  <c r="E417" i="2"/>
  <c r="E254" i="2"/>
  <c r="F254" i="2"/>
  <c r="E588" i="2"/>
  <c r="F588" i="2"/>
  <c r="F903" i="2"/>
  <c r="E903" i="2"/>
  <c r="E290" i="2"/>
  <c r="F290" i="2"/>
  <c r="F624" i="2"/>
  <c r="E624" i="2"/>
  <c r="E937" i="2"/>
  <c r="F937" i="2"/>
  <c r="F329" i="2"/>
  <c r="E329" i="2"/>
  <c r="F7" i="2"/>
  <c r="E7" i="2"/>
  <c r="E821" i="2"/>
  <c r="F821" i="2"/>
  <c r="E565" i="2"/>
  <c r="F565" i="2"/>
  <c r="E309" i="2"/>
  <c r="F309" i="2"/>
  <c r="E53" i="2"/>
  <c r="F53" i="2"/>
  <c r="E452" i="2"/>
  <c r="F452" i="2"/>
  <c r="E196" i="2"/>
  <c r="F196" i="2"/>
  <c r="F899" i="2"/>
  <c r="E899" i="2"/>
  <c r="E643" i="2"/>
  <c r="F643" i="2"/>
  <c r="E387" i="2"/>
  <c r="F387" i="2"/>
  <c r="F131" i="2"/>
  <c r="E131" i="2"/>
  <c r="E688" i="2"/>
  <c r="F688" i="2"/>
  <c r="F207" i="2"/>
  <c r="E207" i="2"/>
  <c r="F636" i="2"/>
  <c r="E636" i="2"/>
  <c r="F33" i="2"/>
  <c r="E33" i="2"/>
  <c r="E122" i="2"/>
  <c r="F122" i="2"/>
  <c r="F400" i="2"/>
  <c r="E400" i="2"/>
  <c r="F223" i="2"/>
  <c r="E223" i="2"/>
  <c r="E238" i="2"/>
  <c r="F238" i="2"/>
  <c r="E366" i="2"/>
  <c r="F366" i="2"/>
  <c r="E280" i="2"/>
  <c r="F280" i="2"/>
  <c r="F201" i="2"/>
  <c r="E201" i="2"/>
  <c r="F247" i="2"/>
  <c r="E247" i="2"/>
  <c r="F873" i="2"/>
  <c r="E873" i="2"/>
  <c r="F551" i="2"/>
  <c r="E551" i="2"/>
  <c r="E569" i="2"/>
  <c r="F569" i="2"/>
  <c r="E884" i="2"/>
  <c r="F884" i="2"/>
  <c r="F902" i="2"/>
  <c r="E902" i="2"/>
  <c r="E289" i="2"/>
  <c r="F289" i="2"/>
  <c r="E310" i="2"/>
  <c r="F310" i="2"/>
  <c r="E549" i="2"/>
  <c r="F549" i="2"/>
  <c r="E37" i="2"/>
  <c r="F37" i="2"/>
  <c r="E180" i="2"/>
  <c r="F180" i="2"/>
  <c r="F883" i="2"/>
  <c r="E883" i="2"/>
  <c r="F627" i="2"/>
  <c r="E627" i="2"/>
  <c r="F371" i="2"/>
  <c r="E371" i="2"/>
  <c r="E115" i="2"/>
  <c r="F115" i="2"/>
  <c r="E857" i="2"/>
  <c r="F857" i="2"/>
  <c r="F523" i="2"/>
  <c r="E523" i="2"/>
  <c r="F712" i="2"/>
  <c r="E712" i="2"/>
  <c r="E60" i="2"/>
  <c r="F60" i="2"/>
  <c r="F924" i="2"/>
  <c r="E924" i="2"/>
  <c r="F109" i="2"/>
  <c r="E109" i="2"/>
  <c r="E166" i="2"/>
  <c r="F166" i="2"/>
  <c r="F678" i="2"/>
  <c r="E678" i="2"/>
  <c r="F695" i="2"/>
  <c r="E695" i="2"/>
  <c r="F110" i="2"/>
  <c r="E110" i="2"/>
  <c r="E220" i="2"/>
  <c r="F220" i="2"/>
  <c r="E799" i="2"/>
  <c r="F799" i="2"/>
  <c r="E361" i="2"/>
  <c r="F361" i="2"/>
  <c r="F848" i="2"/>
  <c r="E848" i="2"/>
  <c r="F865" i="2"/>
  <c r="E865" i="2"/>
  <c r="F882" i="2"/>
  <c r="E882" i="2"/>
  <c r="E270" i="2"/>
  <c r="F270" i="2"/>
  <c r="E288" i="2"/>
  <c r="F288" i="2"/>
  <c r="F533" i="2"/>
  <c r="E533" i="2"/>
  <c r="F358" i="2"/>
  <c r="E358" i="2"/>
  <c r="E443" i="2"/>
  <c r="F443" i="2"/>
  <c r="F662" i="2"/>
  <c r="E662" i="2"/>
  <c r="E836" i="2"/>
  <c r="F836" i="2"/>
  <c r="F64" i="2"/>
  <c r="E64" i="2"/>
  <c r="F298" i="2"/>
  <c r="E298" i="2"/>
  <c r="F498" i="2"/>
  <c r="E498" i="2"/>
  <c r="F497" i="2"/>
  <c r="E497" i="2"/>
  <c r="F710" i="2"/>
  <c r="E710" i="2"/>
  <c r="F634" i="2"/>
  <c r="E634" i="2"/>
  <c r="F926" i="2"/>
  <c r="E926" i="2"/>
  <c r="E378" i="2"/>
  <c r="F378" i="2"/>
  <c r="F824" i="2"/>
  <c r="E824" i="2"/>
  <c r="F317" i="2"/>
  <c r="E317" i="2"/>
  <c r="F944" i="2"/>
  <c r="E944" i="2"/>
  <c r="F943" i="2"/>
  <c r="E943" i="2"/>
  <c r="E16" i="2"/>
  <c r="F16" i="2"/>
  <c r="F562" i="2"/>
  <c r="E562" i="2"/>
  <c r="F107" i="2"/>
  <c r="E107" i="2"/>
  <c r="E905" i="2"/>
  <c r="F905" i="2"/>
  <c r="F541" i="2"/>
  <c r="E541" i="2"/>
  <c r="E200" i="2"/>
  <c r="F200" i="2"/>
  <c r="F199" i="2"/>
  <c r="E199" i="2"/>
  <c r="E649" i="2"/>
  <c r="F649" i="2"/>
  <c r="F189" i="2"/>
  <c r="E189" i="2"/>
  <c r="F574" i="2"/>
  <c r="E574" i="2"/>
  <c r="F540" i="2"/>
  <c r="E540" i="2"/>
  <c r="F618" i="2"/>
  <c r="E618" i="2"/>
  <c r="E161" i="2"/>
  <c r="F161" i="2"/>
  <c r="E852" i="2"/>
  <c r="F852" i="2"/>
  <c r="F345" i="2"/>
  <c r="E345" i="2"/>
  <c r="E676" i="2"/>
  <c r="F676" i="2"/>
  <c r="F743" i="2"/>
  <c r="E743" i="2"/>
  <c r="F302" i="2"/>
  <c r="E302" i="2"/>
  <c r="F491" i="2"/>
  <c r="E491" i="2"/>
  <c r="F175" i="2"/>
  <c r="E175" i="2"/>
  <c r="E812" i="2"/>
  <c r="F812" i="2"/>
  <c r="E509" i="2"/>
  <c r="F509" i="2"/>
  <c r="E193" i="2"/>
  <c r="F193" i="2"/>
  <c r="F829" i="2"/>
  <c r="E829" i="2"/>
  <c r="F527" i="2"/>
  <c r="E527" i="2"/>
  <c r="E214" i="2"/>
  <c r="F214" i="2"/>
  <c r="F846" i="2"/>
  <c r="E846" i="2"/>
  <c r="F545" i="2"/>
  <c r="E545" i="2"/>
  <c r="E232" i="2"/>
  <c r="F232" i="2"/>
  <c r="E863" i="2"/>
  <c r="F863" i="2"/>
  <c r="F566" i="2"/>
  <c r="E566" i="2"/>
  <c r="E250" i="2"/>
  <c r="F250" i="2"/>
  <c r="F54" i="2"/>
  <c r="E54" i="2"/>
  <c r="E757" i="2"/>
  <c r="F757" i="2"/>
  <c r="F501" i="2"/>
  <c r="E501" i="2"/>
  <c r="E245" i="2"/>
  <c r="F245" i="2"/>
  <c r="E644" i="2"/>
  <c r="F644" i="2"/>
  <c r="F388" i="2"/>
  <c r="E388" i="2"/>
  <c r="F132" i="2"/>
  <c r="E132" i="2"/>
  <c r="F835" i="2"/>
  <c r="E835" i="2"/>
  <c r="E579" i="2"/>
  <c r="F579" i="2"/>
  <c r="F323" i="2"/>
  <c r="E323" i="2"/>
  <c r="E67" i="2"/>
  <c r="F67" i="2"/>
  <c r="I48" i="2" l="1"/>
  <c r="I49" i="2"/>
  <c r="I50" i="2"/>
  <c r="I51" i="2"/>
  <c r="I47" i="2"/>
  <c r="I14" i="2"/>
  <c r="I10" i="2"/>
  <c r="I20" i="2"/>
  <c r="I22" i="2"/>
  <c r="I18" i="2"/>
  <c r="I19" i="2"/>
  <c r="I21" i="2"/>
  <c r="I11" i="2"/>
  <c r="I12" i="2"/>
  <c r="I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<sst xmlns="http://schemas.openxmlformats.org/spreadsheetml/2006/main" count="2051" uniqueCount="47">
  <si>
    <t>CustomerID</t>
  </si>
  <si>
    <t>PurchaseDate</t>
  </si>
  <si>
    <t>TransactionAmount</t>
  </si>
  <si>
    <t>ProductInformation</t>
  </si>
  <si>
    <t>OrderID</t>
  </si>
  <si>
    <t>Location</t>
  </si>
  <si>
    <t>Product C</t>
  </si>
  <si>
    <t>Tokyo</t>
  </si>
  <si>
    <t>Product A</t>
  </si>
  <si>
    <t>London</t>
  </si>
  <si>
    <t>New York</t>
  </si>
  <si>
    <t>Paris</t>
  </si>
  <si>
    <t>Product B</t>
  </si>
  <si>
    <t>Product D</t>
  </si>
  <si>
    <t>Recency</t>
  </si>
  <si>
    <t>Frequency</t>
  </si>
  <si>
    <t>Monetary</t>
  </si>
  <si>
    <t>RFM Score</t>
  </si>
  <si>
    <t>Customer Segment</t>
  </si>
  <si>
    <t>Total Unique Customers</t>
  </si>
  <si>
    <t>Analysis Date</t>
  </si>
  <si>
    <t>Recency Score</t>
  </si>
  <si>
    <t>Frequency Score</t>
  </si>
  <si>
    <t>Monetary Score</t>
  </si>
  <si>
    <t>Customer Segment Summary</t>
  </si>
  <si>
    <t>Champions</t>
  </si>
  <si>
    <t>Loyal Customers</t>
  </si>
  <si>
    <t>Potential Loyalists</t>
  </si>
  <si>
    <t>At Risk</t>
  </si>
  <si>
    <t>Needs Attention</t>
  </si>
  <si>
    <t>Average Monetary by Segment</t>
  </si>
  <si>
    <t>Potential loyalists</t>
  </si>
  <si>
    <t>RFM PROJECT KPIs</t>
  </si>
  <si>
    <t>Total Customers</t>
  </si>
  <si>
    <t>Average Recency</t>
  </si>
  <si>
    <t>Average Frequency</t>
  </si>
  <si>
    <t>Average monetary</t>
  </si>
  <si>
    <t>Top 10 Customers by Monetary</t>
  </si>
  <si>
    <t>Customer Segment %</t>
  </si>
  <si>
    <t>Percentage</t>
  </si>
  <si>
    <t>CUSTOMER SEGMENTATION &amp; RFM ANALYSIS</t>
  </si>
  <si>
    <t>KEY BUSINESS INSIGHTS</t>
  </si>
  <si>
    <t>47.04% of customers are in the Needs Attention segment.</t>
  </si>
  <si>
    <t>33.51% of customers are Potential Loyalists.</t>
  </si>
  <si>
    <t>Champions have the highest average monetary value at 1249.94</t>
  </si>
  <si>
    <t>At Risk customers have the lowest average monetary value at 225.28.</t>
  </si>
  <si>
    <t>The top customer spent 2379.45 in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</si>
</sst>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10" xfId="0" applyBorder="1"/>
    <xf numFmtId="0" fontId="16" fillId="0" borderId="10" xfId="0" applyFont="1" applyBorder="1"/>
    <xf numFmtId="10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/>
    <xf numFmtId="0" fontId="16" fillId="0" borderId="10" xfId="0" applyFont="1" applyBorder="1" applyAlignment="1"/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theme="4" tint="0.39994506668294322"/>
      </font>
    </dxf>
    <dxf>
      <font>
        <color theme="4" tint="-0.24994659260841701"/>
      </font>
    </dxf>
    <dxf>
      <font>
        <color rgb="FF7030A0"/>
      </font>
    </dxf>
    <dxf>
      <font>
        <color theme="3" tint="-0.24994659260841701"/>
      </font>
    </dxf>
    <dxf>
      <font>
        <color theme="4" tint="-0.24994659260841701"/>
      </font>
    </dxf>
    <dxf>
      <font>
        <color theme="4" tint="0.39994506668294322"/>
      </font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</dxf>
    <dxf>
      <font>
        <color theme="4" tint="-0.24994659260841701"/>
      </font>
    </dxf>
    <dxf>
      <font>
        <color theme="4" tint="0.39994506668294322"/>
      </font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Analysis'!$H$10:$H$14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 Risk</c:v>
                </c:pt>
                <c:pt idx="4">
                  <c:v>Needs Attention</c:v>
                </c:pt>
              </c:strCache>
            </c:strRef>
          </c:cat>
          <c:val>
            <c:numRef>
              <c:f>'RFM Analysis'!$I$10:$I$14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317</c:v>
                </c:pt>
                <c:pt idx="3">
                  <c:v>147</c:v>
                </c:pt>
                <c:pt idx="4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7-42F6-8EAA-9FC3F834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548880"/>
        <c:axId val="1855777888"/>
      </c:barChart>
      <c:catAx>
        <c:axId val="20415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77888"/>
        <c:crosses val="autoZero"/>
        <c:auto val="1"/>
        <c:lblAlgn val="ctr"/>
        <c:lblOffset val="100"/>
        <c:noMultiLvlLbl val="0"/>
      </c:catAx>
      <c:valAx>
        <c:axId val="18557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5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Monetary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Analysis'!$H$18:$H$22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 Risk</c:v>
                </c:pt>
                <c:pt idx="4">
                  <c:v>Needs Attention</c:v>
                </c:pt>
              </c:strCache>
            </c:strRef>
          </c:cat>
          <c:val>
            <c:numRef>
              <c:f>'RFM Analysis'!$I$18:$I$22</c:f>
              <c:numCache>
                <c:formatCode>General</c:formatCode>
                <c:ptCount val="5"/>
                <c:pt idx="0">
                  <c:v>1249.9433333333334</c:v>
                </c:pt>
                <c:pt idx="1">
                  <c:v>1025.0762500000001</c:v>
                </c:pt>
                <c:pt idx="2">
                  <c:v>729.72936908517363</c:v>
                </c:pt>
                <c:pt idx="3">
                  <c:v>225.28149659863948</c:v>
                </c:pt>
                <c:pt idx="4">
                  <c:v>464.24087640449414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5-4C93-AF02-44309546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4432"/>
        <c:axId val="2060100320"/>
      </c:barChart>
      <c:catAx>
        <c:axId val="628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00320"/>
        <c:crosses val="autoZero"/>
        <c:auto val="1"/>
        <c:lblAlgn val="ctr"/>
        <c:lblOffset val="100"/>
        <c:noMultiLvlLbl val="0"/>
      </c:catAx>
      <c:valAx>
        <c:axId val="20601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 by Monetary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'RFM Analysis'!$I$32:$I$33</c:f>
              <c:strCache>
                <c:ptCount val="2"/>
                <c:pt idx="1">
                  <c:v>Monetary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'RFM Analysis'!$H$33:$H$43</c:f>
              <c:strCache>
                <c:ptCount val="11"/>
                <c:pt idx="0">
                  <c:v>CustomerID</c:v>
                </c:pt>
                <c:pt idx="1">
                  <c:v>5557</c:v>
                </c:pt>
                <c:pt idx="2">
                  <c:v>4804</c:v>
                </c:pt>
                <c:pt idx="3">
                  <c:v>9871</c:v>
                </c:pt>
                <c:pt idx="4">
                  <c:v>3695</c:v>
                </c:pt>
                <c:pt idx="5">
                  <c:v>3938</c:v>
                </c:pt>
                <c:pt idx="6">
                  <c:v>9328</c:v>
                </c:pt>
                <c:pt idx="7">
                  <c:v>7046</c:v>
                </c:pt>
                <c:pt idx="8">
                  <c:v>2526</c:v>
                </c:pt>
                <c:pt idx="9">
                  <c:v>1480</c:v>
                </c:pt>
                <c:pt idx="10">
                  <c:v>9514</c:v>
                </c:pt>
              </c:strCache>
            </c:strRef>
          </c:cat>
          <c:val>
            <c:numRef>
              <c:f>'RFM Analysis'!$I$34:$I$43</c:f>
              <c:numCache>
                <c:formatCode>General</c:formatCode>
                <c:ptCount val="10"/>
                <c:pt idx="0">
                  <c:v>2379.4500000000003</c:v>
                </c:pt>
                <c:pt idx="1">
                  <c:v>2073.33</c:v>
                </c:pt>
                <c:pt idx="2">
                  <c:v>1820.53</c:v>
                </c:pt>
                <c:pt idx="3">
                  <c:v>1770.85</c:v>
                </c:pt>
                <c:pt idx="4">
                  <c:v>1731.53</c:v>
                </c:pt>
                <c:pt idx="5">
                  <c:v>1710.17</c:v>
                </c:pt>
                <c:pt idx="6">
                  <c:v>1662.1</c:v>
                </c:pt>
                <c:pt idx="7">
                  <c:v>1635.23</c:v>
                </c:pt>
                <c:pt idx="8">
                  <c:v>1621.62</c:v>
                </c:pt>
                <c:pt idx="9">
                  <c:v>1553.53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4245-98A7-C4A8AE949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759600"/>
        <c:axId val="2060095520"/>
      </c:barChart>
      <c:catAx>
        <c:axId val="204275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95520"/>
        <c:crosses val="autoZero"/>
        <c:auto val="1"/>
        <c:lblAlgn val="ctr"/>
        <c:lblOffset val="100"/>
        <c:noMultiLvlLbl val="0"/>
      </c:catAx>
      <c:valAx>
        <c:axId val="2060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5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 Percentage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 Analysis'!$H$47:$H$51</c:f>
              <c:strCache>
                <c:ptCount val="5"/>
                <c:pt idx="0">
                  <c:v>Champions</c:v>
                </c:pt>
                <c:pt idx="1">
                  <c:v>Loyal Customers</c:v>
                </c:pt>
                <c:pt idx="2">
                  <c:v>Potential Loyalists</c:v>
                </c:pt>
                <c:pt idx="3">
                  <c:v>At Risk</c:v>
                </c:pt>
                <c:pt idx="4">
                  <c:v>Needs Attention</c:v>
                </c:pt>
              </c:strCache>
            </c:strRef>
          </c:cat>
          <c:val>
            <c:numRef>
              <c:f>'RFM Analysis'!$I$47:$I$51</c:f>
              <c:numCache>
                <c:formatCode>0.00%</c:formatCode>
                <c:ptCount val="5"/>
                <c:pt idx="0">
                  <c:v>2.2198731501057084E-2</c:v>
                </c:pt>
                <c:pt idx="1">
                  <c:v>1.6913319238900635E-2</c:v>
                </c:pt>
                <c:pt idx="2">
                  <c:v>0.33509513742071884</c:v>
                </c:pt>
                <c:pt idx="3">
                  <c:v>0.15539112050739959</c:v>
                </c:pt>
                <c:pt idx="4">
                  <c:v>0.47040169133192389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1-46D7-AF60-1CD25D8F1F1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33299</xdr:colOff>
      <xdr:row>1</xdr:row>
      <xdr:rowOff>26176</xdr:rowOff>
    </xdr:from>
    <xdr:to>
      <xdr:col>17</xdr:col>
      <xdr:colOff>418170</xdr:colOff>
      <xdr:row>8</xdr:row>
      <xdr:rowOff>170366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89639-E320-04CF-9FEF-68EE0AB08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33299</xdr:colOff>
      <xdr:row>8</xdr:row>
      <xdr:rowOff>181052</xdr:rowOff>
    </xdr:from>
    <xdr:to>
      <xdr:col>17</xdr:col>
      <xdr:colOff>464633</xdr:colOff>
      <xdr:row>19</xdr:row>
      <xdr:rowOff>69695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2D7AA-ECD0-C0BA-A9F0-3CA16DEA0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17811</xdr:colOff>
      <xdr:row>19</xdr:row>
      <xdr:rowOff>80381</xdr:rowOff>
    </xdr:from>
    <xdr:to>
      <xdr:col>18</xdr:col>
      <xdr:colOff>588536</xdr:colOff>
      <xdr:row>32</xdr:row>
      <xdr:rowOff>147134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2C801E-2970-1F0A-5CAA-56DAAB091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17811</xdr:colOff>
      <xdr:row>32</xdr:row>
      <xdr:rowOff>157821</xdr:rowOff>
    </xdr:from>
    <xdr:to>
      <xdr:col>18</xdr:col>
      <xdr:colOff>131646</xdr:colOff>
      <xdr:row>43</xdr:row>
      <xdr:rowOff>15488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321FCF-9673-1000-A8C4-86E95E4C2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4C92A-5278-4B2F-832F-A77FEFC1BF22}" name="Table1" displayName="Table1" ref="A1:F1001" totalsRowShown="0">
  <autoFilter ref="A1:F1001" xr:uid="{F1C4C92A-5278-4B2F-832F-A77FEFC1BF22}"/>
  <tableColumns count="6">
    <tableColumn id="1" xr3:uid="{6400B3D2-2F11-47FA-B0A0-3C1BB8501FAE}" name="CustomerID"/>
    <tableColumn id="2" xr3:uid="{729CE0FC-AE10-4DCA-A865-151B84BC8DCA}" name="PurchaseDate" dataDxfId="45"/>
    <tableColumn id="3" xr3:uid="{2294BE7A-8E8F-4B17-84ED-37F5C0342BBF}" name="TransactionAmount"/>
    <tableColumn id="4" xr3:uid="{00471B89-3247-4A9A-AC50-57201EAE469B}" name="ProductInformation"/>
    <tableColumn id="5" xr3:uid="{56041D09-4EC3-48CE-9BE5-5AC4B7655F40}" name="OrderID"/>
    <tableColumn id="6" xr3:uid="{D51C12B1-76AF-4047-A26B-88F3BA9C8550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F706-78C6-4F3D-B163-072C75F0EA74}">
  <dimension ref="A1:F1001"/>
  <sheetViews>
    <sheetView workbookViewId="0">
      <selection activeCell="H16" sqref="H16"/>
    </sheetView>
  </sheetViews>
  <sheetFormatPr defaultRowHeight="14.5" x14ac:dyDescent="0.35"/>
  <cols>
    <col min="1" max="1" width="12.81640625" customWidth="1"/>
    <col min="2" max="2" width="14.453125" style="1" customWidth="1"/>
    <col min="3" max="3" width="19.453125" customWidth="1"/>
    <col min="4" max="4" width="19.54296875" customWidth="1"/>
    <col min="5" max="5" width="9.54296875" customWidth="1"/>
    <col min="6" max="6" width="9.9062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8814</v>
      </c>
      <c r="B2" s="1">
        <v>45027</v>
      </c>
      <c r="C2">
        <v>943.31</v>
      </c>
      <c r="D2" t="s">
        <v>6</v>
      </c>
      <c r="E2">
        <v>890075</v>
      </c>
      <c r="F2" t="s">
        <v>7</v>
      </c>
    </row>
    <row r="3" spans="1:6" x14ac:dyDescent="0.35">
      <c r="A3">
        <v>2188</v>
      </c>
      <c r="B3" s="1">
        <v>45027</v>
      </c>
      <c r="C3">
        <v>463.7</v>
      </c>
      <c r="D3" t="s">
        <v>8</v>
      </c>
      <c r="E3">
        <v>176819</v>
      </c>
      <c r="F3" t="s">
        <v>9</v>
      </c>
    </row>
    <row r="4" spans="1:6" x14ac:dyDescent="0.35">
      <c r="A4">
        <v>4608</v>
      </c>
      <c r="B4" s="1">
        <v>45027</v>
      </c>
      <c r="C4">
        <v>80.28</v>
      </c>
      <c r="D4" t="s">
        <v>8</v>
      </c>
      <c r="E4">
        <v>340062</v>
      </c>
      <c r="F4" t="s">
        <v>10</v>
      </c>
    </row>
    <row r="5" spans="1:6" x14ac:dyDescent="0.35">
      <c r="A5">
        <v>2559</v>
      </c>
      <c r="B5" s="1">
        <v>45027</v>
      </c>
      <c r="C5">
        <v>221.29</v>
      </c>
      <c r="D5" t="s">
        <v>8</v>
      </c>
      <c r="E5">
        <v>239145</v>
      </c>
      <c r="F5" t="s">
        <v>9</v>
      </c>
    </row>
    <row r="6" spans="1:6" x14ac:dyDescent="0.35">
      <c r="A6">
        <v>9482</v>
      </c>
      <c r="B6" s="1">
        <v>45027</v>
      </c>
      <c r="C6">
        <v>739.56</v>
      </c>
      <c r="D6" t="s">
        <v>8</v>
      </c>
      <c r="E6">
        <v>194545</v>
      </c>
      <c r="F6" t="s">
        <v>11</v>
      </c>
    </row>
    <row r="7" spans="1:6" x14ac:dyDescent="0.35">
      <c r="A7">
        <v>8483</v>
      </c>
      <c r="B7" s="1">
        <v>45027</v>
      </c>
      <c r="C7">
        <v>375.23</v>
      </c>
      <c r="D7" t="s">
        <v>6</v>
      </c>
      <c r="E7">
        <v>691194</v>
      </c>
      <c r="F7" t="s">
        <v>11</v>
      </c>
    </row>
    <row r="8" spans="1:6" x14ac:dyDescent="0.35">
      <c r="A8">
        <v>8317</v>
      </c>
      <c r="B8" s="1">
        <v>45027</v>
      </c>
      <c r="C8">
        <v>272.56</v>
      </c>
      <c r="D8" t="s">
        <v>12</v>
      </c>
      <c r="E8">
        <v>826847</v>
      </c>
      <c r="F8" t="s">
        <v>10</v>
      </c>
    </row>
    <row r="9" spans="1:6" x14ac:dyDescent="0.35">
      <c r="A9">
        <v>6911</v>
      </c>
      <c r="B9" s="1">
        <v>45027</v>
      </c>
      <c r="C9">
        <v>433.33</v>
      </c>
      <c r="D9" t="s">
        <v>6</v>
      </c>
      <c r="E9">
        <v>963918</v>
      </c>
      <c r="F9" t="s">
        <v>7</v>
      </c>
    </row>
    <row r="10" spans="1:6" x14ac:dyDescent="0.35">
      <c r="A10">
        <v>8993</v>
      </c>
      <c r="B10" s="1">
        <v>45028</v>
      </c>
      <c r="C10">
        <v>16.55</v>
      </c>
      <c r="D10" t="s">
        <v>13</v>
      </c>
      <c r="E10">
        <v>112426</v>
      </c>
      <c r="F10" t="s">
        <v>10</v>
      </c>
    </row>
    <row r="11" spans="1:6" x14ac:dyDescent="0.35">
      <c r="A11">
        <v>3519</v>
      </c>
      <c r="B11" s="1">
        <v>45028</v>
      </c>
      <c r="C11">
        <v>464.63</v>
      </c>
      <c r="D11" t="s">
        <v>6</v>
      </c>
      <c r="E11">
        <v>139726</v>
      </c>
      <c r="F11" t="s">
        <v>10</v>
      </c>
    </row>
    <row r="12" spans="1:6" x14ac:dyDescent="0.35">
      <c r="A12">
        <v>9005</v>
      </c>
      <c r="B12" s="1">
        <v>45028</v>
      </c>
      <c r="C12">
        <v>120.75</v>
      </c>
      <c r="D12" t="s">
        <v>6</v>
      </c>
      <c r="E12">
        <v>972064</v>
      </c>
      <c r="F12" t="s">
        <v>11</v>
      </c>
    </row>
    <row r="13" spans="1:6" x14ac:dyDescent="0.35">
      <c r="A13">
        <v>9409</v>
      </c>
      <c r="B13" s="1">
        <v>45028</v>
      </c>
      <c r="C13">
        <v>865.98</v>
      </c>
      <c r="D13" t="s">
        <v>8</v>
      </c>
      <c r="E13">
        <v>597126</v>
      </c>
      <c r="F13" t="s">
        <v>9</v>
      </c>
    </row>
    <row r="14" spans="1:6" x14ac:dyDescent="0.35">
      <c r="A14">
        <v>5670</v>
      </c>
      <c r="B14" s="1">
        <v>45028</v>
      </c>
      <c r="C14">
        <v>392.7</v>
      </c>
      <c r="D14" t="s">
        <v>12</v>
      </c>
      <c r="E14">
        <v>995296</v>
      </c>
      <c r="F14" t="s">
        <v>9</v>
      </c>
    </row>
    <row r="15" spans="1:6" x14ac:dyDescent="0.35">
      <c r="A15">
        <v>8724</v>
      </c>
      <c r="B15" s="1">
        <v>45028</v>
      </c>
      <c r="C15">
        <v>623.35</v>
      </c>
      <c r="D15" t="s">
        <v>6</v>
      </c>
      <c r="E15">
        <v>739717</v>
      </c>
      <c r="F15" t="s">
        <v>9</v>
      </c>
    </row>
    <row r="16" spans="1:6" x14ac:dyDescent="0.35">
      <c r="A16">
        <v>9148</v>
      </c>
      <c r="B16" s="1">
        <v>45028</v>
      </c>
      <c r="C16">
        <v>99.15</v>
      </c>
      <c r="D16" t="s">
        <v>13</v>
      </c>
      <c r="E16">
        <v>629996</v>
      </c>
      <c r="F16" t="s">
        <v>7</v>
      </c>
    </row>
    <row r="17" spans="1:6" x14ac:dyDescent="0.35">
      <c r="A17">
        <v>5837</v>
      </c>
      <c r="B17" s="1">
        <v>45028</v>
      </c>
      <c r="C17">
        <v>978.17</v>
      </c>
      <c r="D17" t="s">
        <v>13</v>
      </c>
      <c r="E17">
        <v>387813</v>
      </c>
      <c r="F17" t="s">
        <v>10</v>
      </c>
    </row>
    <row r="18" spans="1:6" x14ac:dyDescent="0.35">
      <c r="A18">
        <v>2767</v>
      </c>
      <c r="B18" s="1">
        <v>45028</v>
      </c>
      <c r="C18">
        <v>299.57</v>
      </c>
      <c r="D18" t="s">
        <v>13</v>
      </c>
      <c r="E18">
        <v>342397</v>
      </c>
      <c r="F18" t="s">
        <v>7</v>
      </c>
    </row>
    <row r="19" spans="1:6" x14ac:dyDescent="0.35">
      <c r="A19">
        <v>2824</v>
      </c>
      <c r="B19" s="1">
        <v>45028</v>
      </c>
      <c r="C19">
        <v>744.13</v>
      </c>
      <c r="D19" t="s">
        <v>12</v>
      </c>
      <c r="E19">
        <v>334053</v>
      </c>
      <c r="F19" t="s">
        <v>9</v>
      </c>
    </row>
    <row r="20" spans="1:6" x14ac:dyDescent="0.35">
      <c r="A20">
        <v>9128</v>
      </c>
      <c r="B20" s="1">
        <v>45028</v>
      </c>
      <c r="C20">
        <v>388.9</v>
      </c>
      <c r="D20" t="s">
        <v>13</v>
      </c>
      <c r="E20">
        <v>281201</v>
      </c>
      <c r="F20" t="s">
        <v>11</v>
      </c>
    </row>
    <row r="21" spans="1:6" x14ac:dyDescent="0.35">
      <c r="A21">
        <v>1520</v>
      </c>
      <c r="B21" s="1">
        <v>45028</v>
      </c>
      <c r="C21">
        <v>102.76</v>
      </c>
      <c r="D21" t="s">
        <v>12</v>
      </c>
      <c r="E21">
        <v>629903</v>
      </c>
      <c r="F21" t="s">
        <v>10</v>
      </c>
    </row>
    <row r="22" spans="1:6" x14ac:dyDescent="0.35">
      <c r="A22">
        <v>8719</v>
      </c>
      <c r="B22" s="1">
        <v>45028</v>
      </c>
      <c r="C22">
        <v>338.56</v>
      </c>
      <c r="D22" t="s">
        <v>12</v>
      </c>
      <c r="E22">
        <v>313701</v>
      </c>
      <c r="F22" t="s">
        <v>11</v>
      </c>
    </row>
    <row r="23" spans="1:6" x14ac:dyDescent="0.35">
      <c r="A23">
        <v>8529</v>
      </c>
      <c r="B23" s="1">
        <v>45028</v>
      </c>
      <c r="C23">
        <v>132.99</v>
      </c>
      <c r="D23" t="s">
        <v>12</v>
      </c>
      <c r="E23">
        <v>562721</v>
      </c>
      <c r="F23" t="s">
        <v>7</v>
      </c>
    </row>
    <row r="24" spans="1:6" x14ac:dyDescent="0.35">
      <c r="A24">
        <v>8705</v>
      </c>
      <c r="B24" s="1">
        <v>45028</v>
      </c>
      <c r="C24">
        <v>751.53</v>
      </c>
      <c r="D24" t="s">
        <v>8</v>
      </c>
      <c r="E24">
        <v>466960</v>
      </c>
      <c r="F24" t="s">
        <v>9</v>
      </c>
    </row>
    <row r="25" spans="1:6" x14ac:dyDescent="0.35">
      <c r="A25">
        <v>6347</v>
      </c>
      <c r="B25" s="1">
        <v>45028</v>
      </c>
      <c r="C25">
        <v>637.78</v>
      </c>
      <c r="D25" t="s">
        <v>13</v>
      </c>
      <c r="E25">
        <v>614435</v>
      </c>
      <c r="F25" t="s">
        <v>9</v>
      </c>
    </row>
    <row r="26" spans="1:6" x14ac:dyDescent="0.35">
      <c r="A26">
        <v>4161</v>
      </c>
      <c r="B26" s="1">
        <v>45028</v>
      </c>
      <c r="C26">
        <v>692.36</v>
      </c>
      <c r="D26" t="s">
        <v>6</v>
      </c>
      <c r="E26">
        <v>859587</v>
      </c>
      <c r="F26" t="s">
        <v>9</v>
      </c>
    </row>
    <row r="27" spans="1:6" x14ac:dyDescent="0.35">
      <c r="A27">
        <v>2228</v>
      </c>
      <c r="B27" s="1">
        <v>45028</v>
      </c>
      <c r="C27">
        <v>997.19</v>
      </c>
      <c r="D27" t="s">
        <v>12</v>
      </c>
      <c r="E27">
        <v>777366</v>
      </c>
      <c r="F27" t="s">
        <v>7</v>
      </c>
    </row>
    <row r="28" spans="1:6" x14ac:dyDescent="0.35">
      <c r="A28">
        <v>6638</v>
      </c>
      <c r="B28" s="1">
        <v>45028</v>
      </c>
      <c r="C28">
        <v>417.64</v>
      </c>
      <c r="D28" t="s">
        <v>6</v>
      </c>
      <c r="E28">
        <v>812597</v>
      </c>
      <c r="F28" t="s">
        <v>9</v>
      </c>
    </row>
    <row r="29" spans="1:6" x14ac:dyDescent="0.35">
      <c r="A29">
        <v>5533</v>
      </c>
      <c r="B29" s="1">
        <v>45029</v>
      </c>
      <c r="C29">
        <v>13.51</v>
      </c>
      <c r="D29" t="s">
        <v>12</v>
      </c>
      <c r="E29">
        <v>768061</v>
      </c>
      <c r="F29" t="s">
        <v>11</v>
      </c>
    </row>
    <row r="30" spans="1:6" x14ac:dyDescent="0.35">
      <c r="A30">
        <v>9871</v>
      </c>
      <c r="B30" s="1">
        <v>45029</v>
      </c>
      <c r="C30">
        <v>849.53</v>
      </c>
      <c r="D30" t="s">
        <v>6</v>
      </c>
      <c r="E30">
        <v>750817</v>
      </c>
      <c r="F30" t="s">
        <v>11</v>
      </c>
    </row>
    <row r="31" spans="1:6" x14ac:dyDescent="0.35">
      <c r="A31">
        <v>9864</v>
      </c>
      <c r="B31" s="1">
        <v>45029</v>
      </c>
      <c r="C31">
        <v>621.28</v>
      </c>
      <c r="D31" t="s">
        <v>12</v>
      </c>
      <c r="E31">
        <v>761820</v>
      </c>
      <c r="F31" t="s">
        <v>11</v>
      </c>
    </row>
    <row r="32" spans="1:6" x14ac:dyDescent="0.35">
      <c r="A32">
        <v>1146</v>
      </c>
      <c r="B32" s="1">
        <v>45029</v>
      </c>
      <c r="C32">
        <v>585.27</v>
      </c>
      <c r="D32" t="s">
        <v>13</v>
      </c>
      <c r="E32">
        <v>821846</v>
      </c>
      <c r="F32" t="s">
        <v>9</v>
      </c>
    </row>
    <row r="33" spans="1:6" x14ac:dyDescent="0.35">
      <c r="A33">
        <v>9115</v>
      </c>
      <c r="B33" s="1">
        <v>45029</v>
      </c>
      <c r="C33">
        <v>134.97999999999999</v>
      </c>
      <c r="D33" t="s">
        <v>6</v>
      </c>
      <c r="E33">
        <v>205239</v>
      </c>
      <c r="F33" t="s">
        <v>7</v>
      </c>
    </row>
    <row r="34" spans="1:6" x14ac:dyDescent="0.35">
      <c r="A34">
        <v>5494</v>
      </c>
      <c r="B34" s="1">
        <v>45029</v>
      </c>
      <c r="C34">
        <v>974.55</v>
      </c>
      <c r="D34" t="s">
        <v>6</v>
      </c>
      <c r="E34">
        <v>831295</v>
      </c>
      <c r="F34" t="s">
        <v>9</v>
      </c>
    </row>
    <row r="35" spans="1:6" x14ac:dyDescent="0.35">
      <c r="A35">
        <v>4190</v>
      </c>
      <c r="B35" s="1">
        <v>45029</v>
      </c>
      <c r="C35">
        <v>786.12</v>
      </c>
      <c r="D35" t="s">
        <v>12</v>
      </c>
      <c r="E35">
        <v>745073</v>
      </c>
      <c r="F35" t="s">
        <v>9</v>
      </c>
    </row>
    <row r="36" spans="1:6" x14ac:dyDescent="0.35">
      <c r="A36">
        <v>5583</v>
      </c>
      <c r="B36" s="1">
        <v>45029</v>
      </c>
      <c r="C36">
        <v>693.38</v>
      </c>
      <c r="D36" t="s">
        <v>12</v>
      </c>
      <c r="E36">
        <v>564920</v>
      </c>
      <c r="F36" t="s">
        <v>7</v>
      </c>
    </row>
    <row r="37" spans="1:6" x14ac:dyDescent="0.35">
      <c r="A37">
        <v>2617</v>
      </c>
      <c r="B37" s="1">
        <v>45029</v>
      </c>
      <c r="C37">
        <v>575.29999999999995</v>
      </c>
      <c r="D37" t="s">
        <v>13</v>
      </c>
      <c r="E37">
        <v>789880</v>
      </c>
      <c r="F37" t="s">
        <v>7</v>
      </c>
    </row>
    <row r="38" spans="1:6" x14ac:dyDescent="0.35">
      <c r="A38">
        <v>6878</v>
      </c>
      <c r="B38" s="1">
        <v>45029</v>
      </c>
      <c r="C38">
        <v>226.63</v>
      </c>
      <c r="D38" t="s">
        <v>13</v>
      </c>
      <c r="E38">
        <v>343007</v>
      </c>
      <c r="F38" t="s">
        <v>10</v>
      </c>
    </row>
    <row r="39" spans="1:6" x14ac:dyDescent="0.35">
      <c r="A39">
        <v>5349</v>
      </c>
      <c r="B39" s="1">
        <v>45029</v>
      </c>
      <c r="C39">
        <v>117.32</v>
      </c>
      <c r="D39" t="s">
        <v>13</v>
      </c>
      <c r="E39">
        <v>462479</v>
      </c>
      <c r="F39" t="s">
        <v>11</v>
      </c>
    </row>
    <row r="40" spans="1:6" x14ac:dyDescent="0.35">
      <c r="A40">
        <v>5173</v>
      </c>
      <c r="B40" s="1">
        <v>45029</v>
      </c>
      <c r="C40">
        <v>711.7</v>
      </c>
      <c r="D40" t="s">
        <v>8</v>
      </c>
      <c r="E40">
        <v>645175</v>
      </c>
      <c r="F40" t="s">
        <v>9</v>
      </c>
    </row>
    <row r="41" spans="1:6" x14ac:dyDescent="0.35">
      <c r="A41">
        <v>8216</v>
      </c>
      <c r="B41" s="1">
        <v>45029</v>
      </c>
      <c r="C41">
        <v>924.97</v>
      </c>
      <c r="D41" t="s">
        <v>12</v>
      </c>
      <c r="E41">
        <v>309385</v>
      </c>
      <c r="F41" t="s">
        <v>11</v>
      </c>
    </row>
    <row r="42" spans="1:6" x14ac:dyDescent="0.35">
      <c r="A42">
        <v>4302</v>
      </c>
      <c r="B42" s="1">
        <v>45029</v>
      </c>
      <c r="C42">
        <v>793.2</v>
      </c>
      <c r="D42" t="s">
        <v>8</v>
      </c>
      <c r="E42">
        <v>430926</v>
      </c>
      <c r="F42" t="s">
        <v>11</v>
      </c>
    </row>
    <row r="43" spans="1:6" x14ac:dyDescent="0.35">
      <c r="A43">
        <v>5087</v>
      </c>
      <c r="B43" s="1">
        <v>45029</v>
      </c>
      <c r="C43">
        <v>461.88</v>
      </c>
      <c r="D43" t="s">
        <v>6</v>
      </c>
      <c r="E43">
        <v>838862</v>
      </c>
      <c r="F43" t="s">
        <v>9</v>
      </c>
    </row>
    <row r="44" spans="1:6" x14ac:dyDescent="0.35">
      <c r="A44">
        <v>2524</v>
      </c>
      <c r="B44" s="1">
        <v>45029</v>
      </c>
      <c r="C44">
        <v>922.06</v>
      </c>
      <c r="D44" t="s">
        <v>13</v>
      </c>
      <c r="E44">
        <v>834891</v>
      </c>
      <c r="F44" t="s">
        <v>11</v>
      </c>
    </row>
    <row r="45" spans="1:6" x14ac:dyDescent="0.35">
      <c r="A45">
        <v>2741</v>
      </c>
      <c r="B45" s="1">
        <v>45029</v>
      </c>
      <c r="C45">
        <v>897.91</v>
      </c>
      <c r="D45" t="s">
        <v>13</v>
      </c>
      <c r="E45">
        <v>247271</v>
      </c>
      <c r="F45" t="s">
        <v>7</v>
      </c>
    </row>
    <row r="46" spans="1:6" x14ac:dyDescent="0.35">
      <c r="A46">
        <v>2139</v>
      </c>
      <c r="B46" s="1">
        <v>45029</v>
      </c>
      <c r="C46">
        <v>664.65</v>
      </c>
      <c r="D46" t="s">
        <v>6</v>
      </c>
      <c r="E46">
        <v>183667</v>
      </c>
      <c r="F46" t="s">
        <v>9</v>
      </c>
    </row>
    <row r="47" spans="1:6" x14ac:dyDescent="0.35">
      <c r="A47">
        <v>5919</v>
      </c>
      <c r="B47" s="1">
        <v>45029</v>
      </c>
      <c r="C47">
        <v>812.08</v>
      </c>
      <c r="D47" t="s">
        <v>8</v>
      </c>
      <c r="E47">
        <v>123682</v>
      </c>
      <c r="F47" t="s">
        <v>11</v>
      </c>
    </row>
    <row r="48" spans="1:6" x14ac:dyDescent="0.35">
      <c r="A48">
        <v>7781</v>
      </c>
      <c r="B48" s="1">
        <v>45029</v>
      </c>
      <c r="C48">
        <v>566.9</v>
      </c>
      <c r="D48" t="s">
        <v>12</v>
      </c>
      <c r="E48">
        <v>877259</v>
      </c>
      <c r="F48" t="s">
        <v>9</v>
      </c>
    </row>
    <row r="49" spans="1:6" x14ac:dyDescent="0.35">
      <c r="A49">
        <v>9584</v>
      </c>
      <c r="B49" s="1">
        <v>45029</v>
      </c>
      <c r="C49">
        <v>840.68</v>
      </c>
      <c r="D49" t="s">
        <v>8</v>
      </c>
      <c r="E49">
        <v>957730</v>
      </c>
      <c r="F49" t="s">
        <v>10</v>
      </c>
    </row>
    <row r="50" spans="1:6" x14ac:dyDescent="0.35">
      <c r="A50">
        <v>2848</v>
      </c>
      <c r="B50" s="1">
        <v>45029</v>
      </c>
      <c r="C50">
        <v>811.38</v>
      </c>
      <c r="D50" t="s">
        <v>13</v>
      </c>
      <c r="E50">
        <v>744793</v>
      </c>
      <c r="F50" t="s">
        <v>10</v>
      </c>
    </row>
    <row r="51" spans="1:6" x14ac:dyDescent="0.35">
      <c r="A51">
        <v>1742</v>
      </c>
      <c r="B51" s="1">
        <v>45029</v>
      </c>
      <c r="C51">
        <v>145.66999999999999</v>
      </c>
      <c r="D51" t="s">
        <v>6</v>
      </c>
      <c r="E51">
        <v>943019</v>
      </c>
      <c r="F51" t="s">
        <v>7</v>
      </c>
    </row>
    <row r="52" spans="1:6" x14ac:dyDescent="0.35">
      <c r="A52">
        <v>3676</v>
      </c>
      <c r="B52" s="1">
        <v>45030</v>
      </c>
      <c r="C52">
        <v>223.31</v>
      </c>
      <c r="D52" t="s">
        <v>6</v>
      </c>
      <c r="E52">
        <v>599687</v>
      </c>
      <c r="F52" t="s">
        <v>10</v>
      </c>
    </row>
    <row r="53" spans="1:6" x14ac:dyDescent="0.35">
      <c r="A53">
        <v>9120</v>
      </c>
      <c r="B53" s="1">
        <v>45030</v>
      </c>
      <c r="C53">
        <v>972.57</v>
      </c>
      <c r="D53" t="s">
        <v>13</v>
      </c>
      <c r="E53">
        <v>923975</v>
      </c>
      <c r="F53" t="s">
        <v>11</v>
      </c>
    </row>
    <row r="54" spans="1:6" x14ac:dyDescent="0.35">
      <c r="A54">
        <v>3573</v>
      </c>
      <c r="B54" s="1">
        <v>45030</v>
      </c>
      <c r="C54">
        <v>110.25</v>
      </c>
      <c r="D54" t="s">
        <v>12</v>
      </c>
      <c r="E54">
        <v>299212</v>
      </c>
      <c r="F54" t="s">
        <v>7</v>
      </c>
    </row>
    <row r="55" spans="1:6" x14ac:dyDescent="0.35">
      <c r="A55">
        <v>2169</v>
      </c>
      <c r="B55" s="1">
        <v>45030</v>
      </c>
      <c r="C55">
        <v>174.26</v>
      </c>
      <c r="D55" t="s">
        <v>6</v>
      </c>
      <c r="E55">
        <v>723948</v>
      </c>
      <c r="F55" t="s">
        <v>11</v>
      </c>
    </row>
    <row r="56" spans="1:6" x14ac:dyDescent="0.35">
      <c r="A56">
        <v>4401</v>
      </c>
      <c r="B56" s="1">
        <v>45030</v>
      </c>
      <c r="C56">
        <v>192.99</v>
      </c>
      <c r="D56" t="s">
        <v>8</v>
      </c>
      <c r="E56">
        <v>785010</v>
      </c>
      <c r="F56" t="s">
        <v>11</v>
      </c>
    </row>
    <row r="57" spans="1:6" x14ac:dyDescent="0.35">
      <c r="A57">
        <v>8552</v>
      </c>
      <c r="B57" s="1">
        <v>45030</v>
      </c>
      <c r="C57">
        <v>176.31</v>
      </c>
      <c r="D57" t="s">
        <v>13</v>
      </c>
      <c r="E57">
        <v>961599</v>
      </c>
      <c r="F57" t="s">
        <v>7</v>
      </c>
    </row>
    <row r="58" spans="1:6" x14ac:dyDescent="0.35">
      <c r="A58">
        <v>4909</v>
      </c>
      <c r="B58" s="1">
        <v>45030</v>
      </c>
      <c r="C58">
        <v>252.03</v>
      </c>
      <c r="D58" t="s">
        <v>13</v>
      </c>
      <c r="E58">
        <v>221620</v>
      </c>
      <c r="F58" t="s">
        <v>7</v>
      </c>
    </row>
    <row r="59" spans="1:6" x14ac:dyDescent="0.35">
      <c r="A59">
        <v>9985</v>
      </c>
      <c r="B59" s="1">
        <v>45030</v>
      </c>
      <c r="C59">
        <v>36.1</v>
      </c>
      <c r="D59" t="s">
        <v>13</v>
      </c>
      <c r="E59">
        <v>649435</v>
      </c>
      <c r="F59" t="s">
        <v>10</v>
      </c>
    </row>
    <row r="60" spans="1:6" x14ac:dyDescent="0.35">
      <c r="A60">
        <v>7770</v>
      </c>
      <c r="B60" s="1">
        <v>45030</v>
      </c>
      <c r="C60">
        <v>195.71</v>
      </c>
      <c r="D60" t="s">
        <v>6</v>
      </c>
      <c r="E60">
        <v>752878</v>
      </c>
      <c r="F60" t="s">
        <v>7</v>
      </c>
    </row>
    <row r="61" spans="1:6" x14ac:dyDescent="0.35">
      <c r="A61">
        <v>7797</v>
      </c>
      <c r="B61" s="1">
        <v>45030</v>
      </c>
      <c r="C61">
        <v>402.49</v>
      </c>
      <c r="D61" t="s">
        <v>6</v>
      </c>
      <c r="E61">
        <v>347231</v>
      </c>
      <c r="F61" t="s">
        <v>7</v>
      </c>
    </row>
    <row r="62" spans="1:6" x14ac:dyDescent="0.35">
      <c r="A62">
        <v>3406</v>
      </c>
      <c r="B62" s="1">
        <v>45030</v>
      </c>
      <c r="C62">
        <v>174.68</v>
      </c>
      <c r="D62" t="s">
        <v>12</v>
      </c>
      <c r="E62">
        <v>641737</v>
      </c>
      <c r="F62" t="s">
        <v>7</v>
      </c>
    </row>
    <row r="63" spans="1:6" x14ac:dyDescent="0.35">
      <c r="A63">
        <v>1323</v>
      </c>
      <c r="B63" s="1">
        <v>45030</v>
      </c>
      <c r="C63">
        <v>692.85</v>
      </c>
      <c r="D63" t="s">
        <v>13</v>
      </c>
      <c r="E63">
        <v>565897</v>
      </c>
      <c r="F63" t="s">
        <v>7</v>
      </c>
    </row>
    <row r="64" spans="1:6" x14ac:dyDescent="0.35">
      <c r="A64">
        <v>2200</v>
      </c>
      <c r="B64" s="1">
        <v>45030</v>
      </c>
      <c r="C64">
        <v>186.21</v>
      </c>
      <c r="D64" t="s">
        <v>6</v>
      </c>
      <c r="E64">
        <v>685193</v>
      </c>
      <c r="F64" t="s">
        <v>10</v>
      </c>
    </row>
    <row r="65" spans="1:6" x14ac:dyDescent="0.35">
      <c r="A65">
        <v>5557</v>
      </c>
      <c r="B65" s="1">
        <v>45030</v>
      </c>
      <c r="C65">
        <v>511.86</v>
      </c>
      <c r="D65" t="s">
        <v>13</v>
      </c>
      <c r="E65">
        <v>522866</v>
      </c>
      <c r="F65" t="s">
        <v>9</v>
      </c>
    </row>
    <row r="66" spans="1:6" x14ac:dyDescent="0.35">
      <c r="A66">
        <v>1616</v>
      </c>
      <c r="B66" s="1">
        <v>45030</v>
      </c>
      <c r="C66">
        <v>375.05</v>
      </c>
      <c r="D66" t="s">
        <v>6</v>
      </c>
      <c r="E66">
        <v>180458</v>
      </c>
      <c r="F66" t="s">
        <v>10</v>
      </c>
    </row>
    <row r="67" spans="1:6" x14ac:dyDescent="0.35">
      <c r="A67">
        <v>5347</v>
      </c>
      <c r="B67" s="1">
        <v>45030</v>
      </c>
      <c r="C67">
        <v>135.49</v>
      </c>
      <c r="D67" t="s">
        <v>13</v>
      </c>
      <c r="E67">
        <v>651640</v>
      </c>
      <c r="F67" t="s">
        <v>10</v>
      </c>
    </row>
    <row r="68" spans="1:6" x14ac:dyDescent="0.35">
      <c r="A68">
        <v>4923</v>
      </c>
      <c r="B68" s="1">
        <v>45030</v>
      </c>
      <c r="C68">
        <v>248.46</v>
      </c>
      <c r="D68" t="s">
        <v>8</v>
      </c>
      <c r="E68">
        <v>189814</v>
      </c>
      <c r="F68" t="s">
        <v>7</v>
      </c>
    </row>
    <row r="69" spans="1:6" x14ac:dyDescent="0.35">
      <c r="A69">
        <v>1936</v>
      </c>
      <c r="B69" s="1">
        <v>45030</v>
      </c>
      <c r="C69">
        <v>588.34</v>
      </c>
      <c r="D69" t="s">
        <v>12</v>
      </c>
      <c r="E69">
        <v>159642</v>
      </c>
      <c r="F69" t="s">
        <v>10</v>
      </c>
    </row>
    <row r="70" spans="1:6" x14ac:dyDescent="0.35">
      <c r="A70">
        <v>3340</v>
      </c>
      <c r="B70" s="1">
        <v>45031</v>
      </c>
      <c r="C70">
        <v>535.20000000000005</v>
      </c>
      <c r="D70" t="s">
        <v>8</v>
      </c>
      <c r="E70">
        <v>739966</v>
      </c>
      <c r="F70" t="s">
        <v>9</v>
      </c>
    </row>
    <row r="71" spans="1:6" x14ac:dyDescent="0.35">
      <c r="A71">
        <v>7461</v>
      </c>
      <c r="B71" s="1">
        <v>45031</v>
      </c>
      <c r="C71">
        <v>595.98</v>
      </c>
      <c r="D71" t="s">
        <v>8</v>
      </c>
      <c r="E71">
        <v>556112</v>
      </c>
      <c r="F71" t="s">
        <v>9</v>
      </c>
    </row>
    <row r="72" spans="1:6" x14ac:dyDescent="0.35">
      <c r="A72">
        <v>5224</v>
      </c>
      <c r="B72" s="1">
        <v>45031</v>
      </c>
      <c r="C72">
        <v>388.85</v>
      </c>
      <c r="D72" t="s">
        <v>12</v>
      </c>
      <c r="E72">
        <v>809794</v>
      </c>
      <c r="F72" t="s">
        <v>9</v>
      </c>
    </row>
    <row r="73" spans="1:6" x14ac:dyDescent="0.35">
      <c r="A73">
        <v>7429</v>
      </c>
      <c r="B73" s="1">
        <v>45031</v>
      </c>
      <c r="C73">
        <v>547.76</v>
      </c>
      <c r="D73" t="s">
        <v>12</v>
      </c>
      <c r="E73">
        <v>301528</v>
      </c>
      <c r="F73" t="s">
        <v>11</v>
      </c>
    </row>
    <row r="74" spans="1:6" x14ac:dyDescent="0.35">
      <c r="A74">
        <v>2444</v>
      </c>
      <c r="B74" s="1">
        <v>45031</v>
      </c>
      <c r="C74">
        <v>270.45999999999998</v>
      </c>
      <c r="D74" t="s">
        <v>6</v>
      </c>
      <c r="E74">
        <v>183927</v>
      </c>
      <c r="F74" t="s">
        <v>10</v>
      </c>
    </row>
    <row r="75" spans="1:6" x14ac:dyDescent="0.35">
      <c r="A75">
        <v>3709</v>
      </c>
      <c r="B75" s="1">
        <v>45031</v>
      </c>
      <c r="C75">
        <v>753.92</v>
      </c>
      <c r="D75" t="s">
        <v>6</v>
      </c>
      <c r="E75">
        <v>352593</v>
      </c>
      <c r="F75" t="s">
        <v>11</v>
      </c>
    </row>
    <row r="76" spans="1:6" x14ac:dyDescent="0.35">
      <c r="A76">
        <v>1753</v>
      </c>
      <c r="B76" s="1">
        <v>45031</v>
      </c>
      <c r="C76">
        <v>269</v>
      </c>
      <c r="D76" t="s">
        <v>6</v>
      </c>
      <c r="E76">
        <v>112960</v>
      </c>
      <c r="F76" t="s">
        <v>9</v>
      </c>
    </row>
    <row r="77" spans="1:6" x14ac:dyDescent="0.35">
      <c r="A77">
        <v>8770</v>
      </c>
      <c r="B77" s="1">
        <v>45031</v>
      </c>
      <c r="C77">
        <v>100.31</v>
      </c>
      <c r="D77" t="s">
        <v>8</v>
      </c>
      <c r="E77">
        <v>197758</v>
      </c>
      <c r="F77" t="s">
        <v>7</v>
      </c>
    </row>
    <row r="78" spans="1:6" x14ac:dyDescent="0.35">
      <c r="A78">
        <v>6482</v>
      </c>
      <c r="B78" s="1">
        <v>45031</v>
      </c>
      <c r="C78">
        <v>336.39</v>
      </c>
      <c r="D78" t="s">
        <v>13</v>
      </c>
      <c r="E78">
        <v>397949</v>
      </c>
      <c r="F78" t="s">
        <v>11</v>
      </c>
    </row>
    <row r="79" spans="1:6" x14ac:dyDescent="0.35">
      <c r="A79">
        <v>3538</v>
      </c>
      <c r="B79" s="1">
        <v>45031</v>
      </c>
      <c r="C79">
        <v>302.83</v>
      </c>
      <c r="D79" t="s">
        <v>8</v>
      </c>
      <c r="E79">
        <v>632351</v>
      </c>
      <c r="F79" t="s">
        <v>10</v>
      </c>
    </row>
    <row r="80" spans="1:6" x14ac:dyDescent="0.35">
      <c r="A80">
        <v>1136</v>
      </c>
      <c r="B80" s="1">
        <v>45031</v>
      </c>
      <c r="C80">
        <v>394.76</v>
      </c>
      <c r="D80" t="s">
        <v>6</v>
      </c>
      <c r="E80">
        <v>795186</v>
      </c>
      <c r="F80" t="s">
        <v>11</v>
      </c>
    </row>
    <row r="81" spans="1:6" x14ac:dyDescent="0.35">
      <c r="A81">
        <v>2832</v>
      </c>
      <c r="B81" s="1">
        <v>45031</v>
      </c>
      <c r="C81">
        <v>945.6</v>
      </c>
      <c r="D81" t="s">
        <v>12</v>
      </c>
      <c r="E81">
        <v>672092</v>
      </c>
      <c r="F81" t="s">
        <v>10</v>
      </c>
    </row>
    <row r="82" spans="1:6" x14ac:dyDescent="0.35">
      <c r="A82">
        <v>6201</v>
      </c>
      <c r="B82" s="1">
        <v>45031</v>
      </c>
      <c r="C82">
        <v>561.77</v>
      </c>
      <c r="D82" t="s">
        <v>8</v>
      </c>
      <c r="E82">
        <v>293079</v>
      </c>
      <c r="F82" t="s">
        <v>11</v>
      </c>
    </row>
    <row r="83" spans="1:6" x14ac:dyDescent="0.35">
      <c r="A83">
        <v>4044</v>
      </c>
      <c r="B83" s="1">
        <v>45031</v>
      </c>
      <c r="C83">
        <v>599.08000000000004</v>
      </c>
      <c r="D83" t="s">
        <v>12</v>
      </c>
      <c r="E83">
        <v>523389</v>
      </c>
      <c r="F83" t="s">
        <v>10</v>
      </c>
    </row>
    <row r="84" spans="1:6" x14ac:dyDescent="0.35">
      <c r="A84">
        <v>3153</v>
      </c>
      <c r="B84" s="1">
        <v>45032</v>
      </c>
      <c r="C84">
        <v>910.53</v>
      </c>
      <c r="D84" t="s">
        <v>6</v>
      </c>
      <c r="E84">
        <v>883790</v>
      </c>
      <c r="F84" t="s">
        <v>7</v>
      </c>
    </row>
    <row r="85" spans="1:6" x14ac:dyDescent="0.35">
      <c r="A85">
        <v>1502</v>
      </c>
      <c r="B85" s="1">
        <v>45032</v>
      </c>
      <c r="C85">
        <v>748.65</v>
      </c>
      <c r="D85" t="s">
        <v>12</v>
      </c>
      <c r="E85">
        <v>494468</v>
      </c>
      <c r="F85" t="s">
        <v>7</v>
      </c>
    </row>
    <row r="86" spans="1:6" x14ac:dyDescent="0.35">
      <c r="A86">
        <v>9584</v>
      </c>
      <c r="B86" s="1">
        <v>45032</v>
      </c>
      <c r="C86">
        <v>401.81</v>
      </c>
      <c r="D86" t="s">
        <v>6</v>
      </c>
      <c r="E86">
        <v>882033</v>
      </c>
      <c r="F86" t="s">
        <v>11</v>
      </c>
    </row>
    <row r="87" spans="1:6" x14ac:dyDescent="0.35">
      <c r="A87">
        <v>7955</v>
      </c>
      <c r="B87" s="1">
        <v>45032</v>
      </c>
      <c r="C87">
        <v>436.3</v>
      </c>
      <c r="D87" t="s">
        <v>12</v>
      </c>
      <c r="E87">
        <v>671971</v>
      </c>
      <c r="F87" t="s">
        <v>11</v>
      </c>
    </row>
    <row r="88" spans="1:6" x14ac:dyDescent="0.35">
      <c r="A88">
        <v>8292</v>
      </c>
      <c r="B88" s="1">
        <v>45032</v>
      </c>
      <c r="C88">
        <v>812.41</v>
      </c>
      <c r="D88" t="s">
        <v>6</v>
      </c>
      <c r="E88">
        <v>800280</v>
      </c>
      <c r="F88" t="s">
        <v>11</v>
      </c>
    </row>
    <row r="89" spans="1:6" x14ac:dyDescent="0.35">
      <c r="A89">
        <v>9740</v>
      </c>
      <c r="B89" s="1">
        <v>45032</v>
      </c>
      <c r="C89">
        <v>507.55</v>
      </c>
      <c r="D89" t="s">
        <v>12</v>
      </c>
      <c r="E89">
        <v>720556</v>
      </c>
      <c r="F89" t="s">
        <v>9</v>
      </c>
    </row>
    <row r="90" spans="1:6" x14ac:dyDescent="0.35">
      <c r="A90">
        <v>1464</v>
      </c>
      <c r="B90" s="1">
        <v>45032</v>
      </c>
      <c r="C90">
        <v>55.01</v>
      </c>
      <c r="D90" t="s">
        <v>6</v>
      </c>
      <c r="E90">
        <v>782759</v>
      </c>
      <c r="F90" t="s">
        <v>9</v>
      </c>
    </row>
    <row r="91" spans="1:6" x14ac:dyDescent="0.35">
      <c r="A91">
        <v>4814</v>
      </c>
      <c r="B91" s="1">
        <v>45032</v>
      </c>
      <c r="C91">
        <v>159.18</v>
      </c>
      <c r="D91" t="s">
        <v>13</v>
      </c>
      <c r="E91">
        <v>327738</v>
      </c>
      <c r="F91" t="s">
        <v>11</v>
      </c>
    </row>
    <row r="92" spans="1:6" x14ac:dyDescent="0.35">
      <c r="A92">
        <v>9008</v>
      </c>
      <c r="B92" s="1">
        <v>45032</v>
      </c>
      <c r="C92">
        <v>899.9</v>
      </c>
      <c r="D92" t="s">
        <v>13</v>
      </c>
      <c r="E92">
        <v>947975</v>
      </c>
      <c r="F92" t="s">
        <v>10</v>
      </c>
    </row>
    <row r="93" spans="1:6" x14ac:dyDescent="0.35">
      <c r="A93">
        <v>6077</v>
      </c>
      <c r="B93" s="1">
        <v>45032</v>
      </c>
      <c r="C93">
        <v>516.19000000000005</v>
      </c>
      <c r="D93" t="s">
        <v>12</v>
      </c>
      <c r="E93">
        <v>947312</v>
      </c>
      <c r="F93" t="s">
        <v>9</v>
      </c>
    </row>
    <row r="94" spans="1:6" x14ac:dyDescent="0.35">
      <c r="A94">
        <v>4559</v>
      </c>
      <c r="B94" s="1">
        <v>45032</v>
      </c>
      <c r="C94">
        <v>897.63</v>
      </c>
      <c r="D94" t="s">
        <v>12</v>
      </c>
      <c r="E94">
        <v>888996</v>
      </c>
      <c r="F94" t="s">
        <v>10</v>
      </c>
    </row>
    <row r="95" spans="1:6" x14ac:dyDescent="0.35">
      <c r="A95">
        <v>5102</v>
      </c>
      <c r="B95" s="1">
        <v>45032</v>
      </c>
      <c r="C95">
        <v>378.13</v>
      </c>
      <c r="D95" t="s">
        <v>12</v>
      </c>
      <c r="E95">
        <v>154302</v>
      </c>
      <c r="F95" t="s">
        <v>7</v>
      </c>
    </row>
    <row r="96" spans="1:6" x14ac:dyDescent="0.35">
      <c r="A96">
        <v>3807</v>
      </c>
      <c r="B96" s="1">
        <v>45032</v>
      </c>
      <c r="C96">
        <v>504.86</v>
      </c>
      <c r="D96" t="s">
        <v>13</v>
      </c>
      <c r="E96">
        <v>776234</v>
      </c>
      <c r="F96" t="s">
        <v>11</v>
      </c>
    </row>
    <row r="97" spans="1:6" x14ac:dyDescent="0.35">
      <c r="A97">
        <v>8239</v>
      </c>
      <c r="B97" s="1">
        <v>45032</v>
      </c>
      <c r="C97">
        <v>605.20000000000005</v>
      </c>
      <c r="D97" t="s">
        <v>8</v>
      </c>
      <c r="E97">
        <v>356600</v>
      </c>
      <c r="F97" t="s">
        <v>11</v>
      </c>
    </row>
    <row r="98" spans="1:6" x14ac:dyDescent="0.35">
      <c r="A98">
        <v>8449</v>
      </c>
      <c r="B98" s="1">
        <v>45032</v>
      </c>
      <c r="C98">
        <v>257.58</v>
      </c>
      <c r="D98" t="s">
        <v>12</v>
      </c>
      <c r="E98">
        <v>853270</v>
      </c>
      <c r="F98" t="s">
        <v>10</v>
      </c>
    </row>
    <row r="99" spans="1:6" x14ac:dyDescent="0.35">
      <c r="A99">
        <v>3110</v>
      </c>
      <c r="B99" s="1">
        <v>45032</v>
      </c>
      <c r="C99">
        <v>906.03</v>
      </c>
      <c r="D99" t="s">
        <v>6</v>
      </c>
      <c r="E99">
        <v>228479</v>
      </c>
      <c r="F99" t="s">
        <v>10</v>
      </c>
    </row>
    <row r="100" spans="1:6" x14ac:dyDescent="0.35">
      <c r="A100">
        <v>4271</v>
      </c>
      <c r="B100" s="1">
        <v>45033</v>
      </c>
      <c r="C100">
        <v>35.479999999999997</v>
      </c>
      <c r="D100" t="s">
        <v>12</v>
      </c>
      <c r="E100">
        <v>769191</v>
      </c>
      <c r="F100" t="s">
        <v>11</v>
      </c>
    </row>
    <row r="101" spans="1:6" x14ac:dyDescent="0.35">
      <c r="A101">
        <v>9042</v>
      </c>
      <c r="B101" s="1">
        <v>45033</v>
      </c>
      <c r="C101">
        <v>873.99</v>
      </c>
      <c r="D101" t="s">
        <v>6</v>
      </c>
      <c r="E101">
        <v>592198</v>
      </c>
      <c r="F101" t="s">
        <v>7</v>
      </c>
    </row>
    <row r="102" spans="1:6" x14ac:dyDescent="0.35">
      <c r="A102">
        <v>7224</v>
      </c>
      <c r="B102" s="1">
        <v>45033</v>
      </c>
      <c r="C102">
        <v>365.39</v>
      </c>
      <c r="D102" t="s">
        <v>6</v>
      </c>
      <c r="E102">
        <v>733052</v>
      </c>
      <c r="F102" t="s">
        <v>11</v>
      </c>
    </row>
    <row r="103" spans="1:6" x14ac:dyDescent="0.35">
      <c r="A103">
        <v>2902</v>
      </c>
      <c r="B103" s="1">
        <v>45033</v>
      </c>
      <c r="C103">
        <v>242.45</v>
      </c>
      <c r="D103" t="s">
        <v>12</v>
      </c>
      <c r="E103">
        <v>507524</v>
      </c>
      <c r="F103" t="s">
        <v>7</v>
      </c>
    </row>
    <row r="104" spans="1:6" x14ac:dyDescent="0.35">
      <c r="A104">
        <v>1803</v>
      </c>
      <c r="B104" s="1">
        <v>45033</v>
      </c>
      <c r="C104">
        <v>422.79</v>
      </c>
      <c r="D104" t="s">
        <v>12</v>
      </c>
      <c r="E104">
        <v>269172</v>
      </c>
      <c r="F104" t="s">
        <v>11</v>
      </c>
    </row>
    <row r="105" spans="1:6" x14ac:dyDescent="0.35">
      <c r="A105">
        <v>7965</v>
      </c>
      <c r="B105" s="1">
        <v>45033</v>
      </c>
      <c r="C105">
        <v>738.63</v>
      </c>
      <c r="D105" t="s">
        <v>12</v>
      </c>
      <c r="E105">
        <v>412170</v>
      </c>
      <c r="F105" t="s">
        <v>10</v>
      </c>
    </row>
    <row r="106" spans="1:6" x14ac:dyDescent="0.35">
      <c r="A106">
        <v>4871</v>
      </c>
      <c r="B106" s="1">
        <v>45033</v>
      </c>
      <c r="C106">
        <v>154.97999999999999</v>
      </c>
      <c r="D106" t="s">
        <v>12</v>
      </c>
      <c r="E106">
        <v>281926</v>
      </c>
      <c r="F106" t="s">
        <v>9</v>
      </c>
    </row>
    <row r="107" spans="1:6" x14ac:dyDescent="0.35">
      <c r="A107">
        <v>8909</v>
      </c>
      <c r="B107" s="1">
        <v>45033</v>
      </c>
      <c r="C107">
        <v>302.48</v>
      </c>
      <c r="D107" t="s">
        <v>8</v>
      </c>
      <c r="E107">
        <v>221707</v>
      </c>
      <c r="F107" t="s">
        <v>9</v>
      </c>
    </row>
    <row r="108" spans="1:6" x14ac:dyDescent="0.35">
      <c r="A108">
        <v>6262</v>
      </c>
      <c r="B108" s="1">
        <v>45033</v>
      </c>
      <c r="C108">
        <v>89.27</v>
      </c>
      <c r="D108" t="s">
        <v>6</v>
      </c>
      <c r="E108">
        <v>421384</v>
      </c>
      <c r="F108" t="s">
        <v>7</v>
      </c>
    </row>
    <row r="109" spans="1:6" x14ac:dyDescent="0.35">
      <c r="A109">
        <v>1879</v>
      </c>
      <c r="B109" s="1">
        <v>45033</v>
      </c>
      <c r="C109">
        <v>442.72</v>
      </c>
      <c r="D109" t="s">
        <v>8</v>
      </c>
      <c r="E109">
        <v>457137</v>
      </c>
      <c r="F109" t="s">
        <v>7</v>
      </c>
    </row>
    <row r="110" spans="1:6" x14ac:dyDescent="0.35">
      <c r="A110">
        <v>3937</v>
      </c>
      <c r="B110" s="1">
        <v>45033</v>
      </c>
      <c r="C110">
        <v>918.87</v>
      </c>
      <c r="D110" t="s">
        <v>12</v>
      </c>
      <c r="E110">
        <v>352674</v>
      </c>
      <c r="F110" t="s">
        <v>9</v>
      </c>
    </row>
    <row r="111" spans="1:6" x14ac:dyDescent="0.35">
      <c r="A111">
        <v>1820</v>
      </c>
      <c r="B111" s="1">
        <v>45033</v>
      </c>
      <c r="C111">
        <v>815.05</v>
      </c>
      <c r="D111" t="s">
        <v>8</v>
      </c>
      <c r="E111">
        <v>993647</v>
      </c>
      <c r="F111" t="s">
        <v>11</v>
      </c>
    </row>
    <row r="112" spans="1:6" x14ac:dyDescent="0.35">
      <c r="A112">
        <v>5813</v>
      </c>
      <c r="B112" s="1">
        <v>45033</v>
      </c>
      <c r="C112">
        <v>476.07</v>
      </c>
      <c r="D112" t="s">
        <v>6</v>
      </c>
      <c r="E112">
        <v>860413</v>
      </c>
      <c r="F112" t="s">
        <v>9</v>
      </c>
    </row>
    <row r="113" spans="1:6" x14ac:dyDescent="0.35">
      <c r="A113">
        <v>9564</v>
      </c>
      <c r="B113" s="1">
        <v>45033</v>
      </c>
      <c r="C113">
        <v>35.020000000000003</v>
      </c>
      <c r="D113" t="s">
        <v>12</v>
      </c>
      <c r="E113">
        <v>155642</v>
      </c>
      <c r="F113" t="s">
        <v>10</v>
      </c>
    </row>
    <row r="114" spans="1:6" x14ac:dyDescent="0.35">
      <c r="A114">
        <v>3308</v>
      </c>
      <c r="B114" s="1">
        <v>45033</v>
      </c>
      <c r="C114">
        <v>60.1</v>
      </c>
      <c r="D114" t="s">
        <v>13</v>
      </c>
      <c r="E114">
        <v>745270</v>
      </c>
      <c r="F114" t="s">
        <v>7</v>
      </c>
    </row>
    <row r="115" spans="1:6" x14ac:dyDescent="0.35">
      <c r="A115">
        <v>3103</v>
      </c>
      <c r="B115" s="1">
        <v>45033</v>
      </c>
      <c r="C115">
        <v>393.53</v>
      </c>
      <c r="D115" t="s">
        <v>6</v>
      </c>
      <c r="E115">
        <v>628597</v>
      </c>
      <c r="F115" t="s">
        <v>7</v>
      </c>
    </row>
    <row r="116" spans="1:6" x14ac:dyDescent="0.35">
      <c r="A116">
        <v>6096</v>
      </c>
      <c r="B116" s="1">
        <v>45033</v>
      </c>
      <c r="C116">
        <v>582.9</v>
      </c>
      <c r="D116" t="s">
        <v>6</v>
      </c>
      <c r="E116">
        <v>703766</v>
      </c>
      <c r="F116" t="s">
        <v>7</v>
      </c>
    </row>
    <row r="117" spans="1:6" x14ac:dyDescent="0.35">
      <c r="A117">
        <v>2809</v>
      </c>
      <c r="B117" s="1">
        <v>45033</v>
      </c>
      <c r="C117">
        <v>527.97</v>
      </c>
      <c r="D117" t="s">
        <v>8</v>
      </c>
      <c r="E117">
        <v>145903</v>
      </c>
      <c r="F117" t="s">
        <v>9</v>
      </c>
    </row>
    <row r="118" spans="1:6" x14ac:dyDescent="0.35">
      <c r="A118">
        <v>5476</v>
      </c>
      <c r="B118" s="1">
        <v>45034</v>
      </c>
      <c r="C118">
        <v>801.35</v>
      </c>
      <c r="D118" t="s">
        <v>13</v>
      </c>
      <c r="E118">
        <v>519453</v>
      </c>
      <c r="F118" t="s">
        <v>7</v>
      </c>
    </row>
    <row r="119" spans="1:6" x14ac:dyDescent="0.35">
      <c r="A119">
        <v>8490</v>
      </c>
      <c r="B119" s="1">
        <v>45034</v>
      </c>
      <c r="C119">
        <v>701.26</v>
      </c>
      <c r="D119" t="s">
        <v>13</v>
      </c>
      <c r="E119">
        <v>430984</v>
      </c>
      <c r="F119" t="s">
        <v>10</v>
      </c>
    </row>
    <row r="120" spans="1:6" x14ac:dyDescent="0.35">
      <c r="A120">
        <v>8195</v>
      </c>
      <c r="B120" s="1">
        <v>45034</v>
      </c>
      <c r="C120">
        <v>474.01</v>
      </c>
      <c r="D120" t="s">
        <v>6</v>
      </c>
      <c r="E120">
        <v>833723</v>
      </c>
      <c r="F120" t="s">
        <v>7</v>
      </c>
    </row>
    <row r="121" spans="1:6" x14ac:dyDescent="0.35">
      <c r="A121">
        <v>9418</v>
      </c>
      <c r="B121" s="1">
        <v>45034</v>
      </c>
      <c r="C121">
        <v>383.43</v>
      </c>
      <c r="D121" t="s">
        <v>13</v>
      </c>
      <c r="E121">
        <v>392670</v>
      </c>
      <c r="F121" t="s">
        <v>11</v>
      </c>
    </row>
    <row r="122" spans="1:6" x14ac:dyDescent="0.35">
      <c r="A122">
        <v>4279</v>
      </c>
      <c r="B122" s="1">
        <v>45034</v>
      </c>
      <c r="C122">
        <v>144.37</v>
      </c>
      <c r="D122" t="s">
        <v>8</v>
      </c>
      <c r="E122">
        <v>574001</v>
      </c>
      <c r="F122" t="s">
        <v>9</v>
      </c>
    </row>
    <row r="123" spans="1:6" x14ac:dyDescent="0.35">
      <c r="A123">
        <v>8414</v>
      </c>
      <c r="B123" s="1">
        <v>45034</v>
      </c>
      <c r="C123">
        <v>106.46</v>
      </c>
      <c r="D123" t="s">
        <v>12</v>
      </c>
      <c r="E123">
        <v>102303</v>
      </c>
      <c r="F123" t="s">
        <v>11</v>
      </c>
    </row>
    <row r="124" spans="1:6" x14ac:dyDescent="0.35">
      <c r="A124">
        <v>2029</v>
      </c>
      <c r="B124" s="1">
        <v>45034</v>
      </c>
      <c r="C124">
        <v>838.32</v>
      </c>
      <c r="D124" t="s">
        <v>13</v>
      </c>
      <c r="E124">
        <v>725726</v>
      </c>
      <c r="F124" t="s">
        <v>10</v>
      </c>
    </row>
    <row r="125" spans="1:6" x14ac:dyDescent="0.35">
      <c r="A125">
        <v>4568</v>
      </c>
      <c r="B125" s="1">
        <v>45034</v>
      </c>
      <c r="C125">
        <v>243.61</v>
      </c>
      <c r="D125" t="s">
        <v>13</v>
      </c>
      <c r="E125">
        <v>440277</v>
      </c>
      <c r="F125" t="s">
        <v>10</v>
      </c>
    </row>
    <row r="126" spans="1:6" x14ac:dyDescent="0.35">
      <c r="A126">
        <v>9369</v>
      </c>
      <c r="B126" s="1">
        <v>45034</v>
      </c>
      <c r="C126">
        <v>576.99</v>
      </c>
      <c r="D126" t="s">
        <v>6</v>
      </c>
      <c r="E126">
        <v>912764</v>
      </c>
      <c r="F126" t="s">
        <v>11</v>
      </c>
    </row>
    <row r="127" spans="1:6" x14ac:dyDescent="0.35">
      <c r="A127">
        <v>6169</v>
      </c>
      <c r="B127" s="1">
        <v>45034</v>
      </c>
      <c r="C127">
        <v>745.45</v>
      </c>
      <c r="D127" t="s">
        <v>12</v>
      </c>
      <c r="E127">
        <v>300845</v>
      </c>
      <c r="F127" t="s">
        <v>9</v>
      </c>
    </row>
    <row r="128" spans="1:6" x14ac:dyDescent="0.35">
      <c r="A128">
        <v>9561</v>
      </c>
      <c r="B128" s="1">
        <v>45034</v>
      </c>
      <c r="C128">
        <v>524.55999999999995</v>
      </c>
      <c r="D128" t="s">
        <v>13</v>
      </c>
      <c r="E128">
        <v>786341</v>
      </c>
      <c r="F128" t="s">
        <v>9</v>
      </c>
    </row>
    <row r="129" spans="1:6" x14ac:dyDescent="0.35">
      <c r="A129">
        <v>3858</v>
      </c>
      <c r="B129" s="1">
        <v>45034</v>
      </c>
      <c r="C129">
        <v>664.45</v>
      </c>
      <c r="D129" t="s">
        <v>8</v>
      </c>
      <c r="E129">
        <v>238205</v>
      </c>
      <c r="F129" t="s">
        <v>10</v>
      </c>
    </row>
    <row r="130" spans="1:6" x14ac:dyDescent="0.35">
      <c r="A130">
        <v>2494</v>
      </c>
      <c r="B130" s="1">
        <v>45034</v>
      </c>
      <c r="C130">
        <v>709.16</v>
      </c>
      <c r="D130" t="s">
        <v>6</v>
      </c>
      <c r="E130">
        <v>189450</v>
      </c>
      <c r="F130" t="s">
        <v>7</v>
      </c>
    </row>
    <row r="131" spans="1:6" x14ac:dyDescent="0.35">
      <c r="A131">
        <v>4990</v>
      </c>
      <c r="B131" s="1">
        <v>45035</v>
      </c>
      <c r="C131">
        <v>789.11</v>
      </c>
      <c r="D131" t="s">
        <v>12</v>
      </c>
      <c r="E131">
        <v>171942</v>
      </c>
      <c r="F131" t="s">
        <v>9</v>
      </c>
    </row>
    <row r="132" spans="1:6" x14ac:dyDescent="0.35">
      <c r="A132">
        <v>3392</v>
      </c>
      <c r="B132" s="1">
        <v>45035</v>
      </c>
      <c r="C132">
        <v>47.92</v>
      </c>
      <c r="D132" t="s">
        <v>13</v>
      </c>
      <c r="E132">
        <v>829884</v>
      </c>
      <c r="F132" t="s">
        <v>9</v>
      </c>
    </row>
    <row r="133" spans="1:6" x14ac:dyDescent="0.35">
      <c r="A133">
        <v>2911</v>
      </c>
      <c r="B133" s="1">
        <v>45035</v>
      </c>
      <c r="C133">
        <v>54.89</v>
      </c>
      <c r="D133" t="s">
        <v>8</v>
      </c>
      <c r="E133">
        <v>419149</v>
      </c>
      <c r="F133" t="s">
        <v>7</v>
      </c>
    </row>
    <row r="134" spans="1:6" x14ac:dyDescent="0.35">
      <c r="A134">
        <v>2749</v>
      </c>
      <c r="B134" s="1">
        <v>45035</v>
      </c>
      <c r="C134">
        <v>192.9</v>
      </c>
      <c r="D134" t="s">
        <v>6</v>
      </c>
      <c r="E134">
        <v>735022</v>
      </c>
      <c r="F134" t="s">
        <v>9</v>
      </c>
    </row>
    <row r="135" spans="1:6" x14ac:dyDescent="0.35">
      <c r="A135">
        <v>7971</v>
      </c>
      <c r="B135" s="1">
        <v>45035</v>
      </c>
      <c r="C135">
        <v>261.97000000000003</v>
      </c>
      <c r="D135" t="s">
        <v>12</v>
      </c>
      <c r="E135">
        <v>187889</v>
      </c>
      <c r="F135" t="s">
        <v>11</v>
      </c>
    </row>
    <row r="136" spans="1:6" x14ac:dyDescent="0.35">
      <c r="A136">
        <v>6447</v>
      </c>
      <c r="B136" s="1">
        <v>45035</v>
      </c>
      <c r="C136">
        <v>53.89</v>
      </c>
      <c r="D136" t="s">
        <v>6</v>
      </c>
      <c r="E136">
        <v>953025</v>
      </c>
      <c r="F136" t="s">
        <v>9</v>
      </c>
    </row>
    <row r="137" spans="1:6" x14ac:dyDescent="0.35">
      <c r="A137">
        <v>7484</v>
      </c>
      <c r="B137" s="1">
        <v>45035</v>
      </c>
      <c r="C137">
        <v>674.97</v>
      </c>
      <c r="D137" t="s">
        <v>6</v>
      </c>
      <c r="E137">
        <v>579434</v>
      </c>
      <c r="F137" t="s">
        <v>11</v>
      </c>
    </row>
    <row r="138" spans="1:6" x14ac:dyDescent="0.35">
      <c r="A138">
        <v>7421</v>
      </c>
      <c r="B138" s="1">
        <v>45035</v>
      </c>
      <c r="C138">
        <v>599.09</v>
      </c>
      <c r="D138" t="s">
        <v>8</v>
      </c>
      <c r="E138">
        <v>424620</v>
      </c>
      <c r="F138" t="s">
        <v>7</v>
      </c>
    </row>
    <row r="139" spans="1:6" x14ac:dyDescent="0.35">
      <c r="A139">
        <v>4157</v>
      </c>
      <c r="B139" s="1">
        <v>45035</v>
      </c>
      <c r="C139">
        <v>52.25</v>
      </c>
      <c r="D139" t="s">
        <v>8</v>
      </c>
      <c r="E139">
        <v>816308</v>
      </c>
      <c r="F139" t="s">
        <v>7</v>
      </c>
    </row>
    <row r="140" spans="1:6" x14ac:dyDescent="0.35">
      <c r="A140">
        <v>5450</v>
      </c>
      <c r="B140" s="1">
        <v>45035</v>
      </c>
      <c r="C140">
        <v>118.13</v>
      </c>
      <c r="D140" t="s">
        <v>12</v>
      </c>
      <c r="E140">
        <v>354235</v>
      </c>
      <c r="F140" t="s">
        <v>10</v>
      </c>
    </row>
    <row r="141" spans="1:6" x14ac:dyDescent="0.35">
      <c r="A141">
        <v>9835</v>
      </c>
      <c r="B141" s="1">
        <v>45035</v>
      </c>
      <c r="C141">
        <v>657</v>
      </c>
      <c r="D141" t="s">
        <v>6</v>
      </c>
      <c r="E141">
        <v>224395</v>
      </c>
      <c r="F141" t="s">
        <v>9</v>
      </c>
    </row>
    <row r="142" spans="1:6" x14ac:dyDescent="0.35">
      <c r="A142">
        <v>1924</v>
      </c>
      <c r="B142" s="1">
        <v>45035</v>
      </c>
      <c r="C142">
        <v>508.86</v>
      </c>
      <c r="D142" t="s">
        <v>6</v>
      </c>
      <c r="E142">
        <v>345536</v>
      </c>
      <c r="F142" t="s">
        <v>11</v>
      </c>
    </row>
    <row r="143" spans="1:6" x14ac:dyDescent="0.35">
      <c r="A143">
        <v>1706</v>
      </c>
      <c r="B143" s="1">
        <v>45035</v>
      </c>
      <c r="C143">
        <v>577.75</v>
      </c>
      <c r="D143" t="s">
        <v>12</v>
      </c>
      <c r="E143">
        <v>241268</v>
      </c>
      <c r="F143" t="s">
        <v>10</v>
      </c>
    </row>
    <row r="144" spans="1:6" x14ac:dyDescent="0.35">
      <c r="A144">
        <v>8429</v>
      </c>
      <c r="B144" s="1">
        <v>45035</v>
      </c>
      <c r="C144">
        <v>518.12</v>
      </c>
      <c r="D144" t="s">
        <v>13</v>
      </c>
      <c r="E144">
        <v>691303</v>
      </c>
      <c r="F144" t="s">
        <v>10</v>
      </c>
    </row>
    <row r="145" spans="1:6" x14ac:dyDescent="0.35">
      <c r="A145">
        <v>3878</v>
      </c>
      <c r="B145" s="1">
        <v>45035</v>
      </c>
      <c r="C145">
        <v>386.41</v>
      </c>
      <c r="D145" t="s">
        <v>12</v>
      </c>
      <c r="E145">
        <v>624563</v>
      </c>
      <c r="F145" t="s">
        <v>11</v>
      </c>
    </row>
    <row r="146" spans="1:6" x14ac:dyDescent="0.35">
      <c r="A146">
        <v>9488</v>
      </c>
      <c r="B146" s="1">
        <v>45036</v>
      </c>
      <c r="C146">
        <v>311.08</v>
      </c>
      <c r="D146" t="s">
        <v>12</v>
      </c>
      <c r="E146">
        <v>438334</v>
      </c>
      <c r="F146" t="s">
        <v>9</v>
      </c>
    </row>
    <row r="147" spans="1:6" x14ac:dyDescent="0.35">
      <c r="A147">
        <v>9129</v>
      </c>
      <c r="B147" s="1">
        <v>45036</v>
      </c>
      <c r="C147">
        <v>337.86</v>
      </c>
      <c r="D147" t="s">
        <v>8</v>
      </c>
      <c r="E147">
        <v>349556</v>
      </c>
      <c r="F147" t="s">
        <v>11</v>
      </c>
    </row>
    <row r="148" spans="1:6" x14ac:dyDescent="0.35">
      <c r="A148">
        <v>1601</v>
      </c>
      <c r="B148" s="1">
        <v>45036</v>
      </c>
      <c r="C148">
        <v>855.29</v>
      </c>
      <c r="D148" t="s">
        <v>6</v>
      </c>
      <c r="E148">
        <v>447195</v>
      </c>
      <c r="F148" t="s">
        <v>10</v>
      </c>
    </row>
    <row r="149" spans="1:6" x14ac:dyDescent="0.35">
      <c r="A149">
        <v>1317</v>
      </c>
      <c r="B149" s="1">
        <v>45036</v>
      </c>
      <c r="C149">
        <v>59.14</v>
      </c>
      <c r="D149" t="s">
        <v>8</v>
      </c>
      <c r="E149">
        <v>294969</v>
      </c>
      <c r="F149" t="s">
        <v>10</v>
      </c>
    </row>
    <row r="150" spans="1:6" x14ac:dyDescent="0.35">
      <c r="A150">
        <v>3485</v>
      </c>
      <c r="B150" s="1">
        <v>45036</v>
      </c>
      <c r="C150">
        <v>813.03</v>
      </c>
      <c r="D150" t="s">
        <v>6</v>
      </c>
      <c r="E150">
        <v>189318</v>
      </c>
      <c r="F150" t="s">
        <v>9</v>
      </c>
    </row>
    <row r="151" spans="1:6" x14ac:dyDescent="0.35">
      <c r="A151">
        <v>1510</v>
      </c>
      <c r="B151" s="1">
        <v>45036</v>
      </c>
      <c r="C151">
        <v>850.18</v>
      </c>
      <c r="D151" t="s">
        <v>13</v>
      </c>
      <c r="E151">
        <v>136489</v>
      </c>
      <c r="F151" t="s">
        <v>9</v>
      </c>
    </row>
    <row r="152" spans="1:6" x14ac:dyDescent="0.35">
      <c r="A152">
        <v>2009</v>
      </c>
      <c r="B152" s="1">
        <v>45036</v>
      </c>
      <c r="C152">
        <v>754.71</v>
      </c>
      <c r="D152" t="s">
        <v>8</v>
      </c>
      <c r="E152">
        <v>189870</v>
      </c>
      <c r="F152" t="s">
        <v>11</v>
      </c>
    </row>
    <row r="153" spans="1:6" x14ac:dyDescent="0.35">
      <c r="A153">
        <v>4695</v>
      </c>
      <c r="B153" s="1">
        <v>45036</v>
      </c>
      <c r="C153">
        <v>348.37</v>
      </c>
      <c r="D153" t="s">
        <v>13</v>
      </c>
      <c r="E153">
        <v>788842</v>
      </c>
      <c r="F153" t="s">
        <v>9</v>
      </c>
    </row>
    <row r="154" spans="1:6" x14ac:dyDescent="0.35">
      <c r="A154">
        <v>8017</v>
      </c>
      <c r="B154" s="1">
        <v>45037</v>
      </c>
      <c r="C154">
        <v>14.78</v>
      </c>
      <c r="D154" t="s">
        <v>12</v>
      </c>
      <c r="E154">
        <v>923824</v>
      </c>
      <c r="F154" t="s">
        <v>9</v>
      </c>
    </row>
    <row r="155" spans="1:6" x14ac:dyDescent="0.35">
      <c r="A155">
        <v>8871</v>
      </c>
      <c r="B155" s="1">
        <v>45037</v>
      </c>
      <c r="C155">
        <v>528.99</v>
      </c>
      <c r="D155" t="s">
        <v>13</v>
      </c>
      <c r="E155">
        <v>254954</v>
      </c>
      <c r="F155" t="s">
        <v>9</v>
      </c>
    </row>
    <row r="156" spans="1:6" x14ac:dyDescent="0.35">
      <c r="A156">
        <v>6293</v>
      </c>
      <c r="B156" s="1">
        <v>45037</v>
      </c>
      <c r="C156">
        <v>632.87</v>
      </c>
      <c r="D156" t="s">
        <v>8</v>
      </c>
      <c r="E156">
        <v>880900</v>
      </c>
      <c r="F156" t="s">
        <v>10</v>
      </c>
    </row>
    <row r="157" spans="1:6" x14ac:dyDescent="0.35">
      <c r="A157">
        <v>5994</v>
      </c>
      <c r="B157" s="1">
        <v>45037</v>
      </c>
      <c r="C157">
        <v>987.78</v>
      </c>
      <c r="D157" t="s">
        <v>13</v>
      </c>
      <c r="E157">
        <v>753453</v>
      </c>
      <c r="F157" t="s">
        <v>9</v>
      </c>
    </row>
    <row r="158" spans="1:6" x14ac:dyDescent="0.35">
      <c r="A158">
        <v>8269</v>
      </c>
      <c r="B158" s="1">
        <v>45037</v>
      </c>
      <c r="C158">
        <v>697.06</v>
      </c>
      <c r="D158" t="s">
        <v>8</v>
      </c>
      <c r="E158">
        <v>148225</v>
      </c>
      <c r="F158" t="s">
        <v>11</v>
      </c>
    </row>
    <row r="159" spans="1:6" x14ac:dyDescent="0.35">
      <c r="A159">
        <v>8123</v>
      </c>
      <c r="B159" s="1">
        <v>45037</v>
      </c>
      <c r="C159">
        <v>459.19</v>
      </c>
      <c r="D159" t="s">
        <v>6</v>
      </c>
      <c r="E159">
        <v>624902</v>
      </c>
      <c r="F159" t="s">
        <v>9</v>
      </c>
    </row>
    <row r="160" spans="1:6" x14ac:dyDescent="0.35">
      <c r="A160">
        <v>7981</v>
      </c>
      <c r="B160" s="1">
        <v>45037</v>
      </c>
      <c r="C160">
        <v>692.87</v>
      </c>
      <c r="D160" t="s">
        <v>6</v>
      </c>
      <c r="E160">
        <v>568849</v>
      </c>
      <c r="F160" t="s">
        <v>10</v>
      </c>
    </row>
    <row r="161" spans="1:6" x14ac:dyDescent="0.35">
      <c r="A161">
        <v>4695</v>
      </c>
      <c r="B161" s="1">
        <v>45037</v>
      </c>
      <c r="C161">
        <v>456.77</v>
      </c>
      <c r="D161" t="s">
        <v>8</v>
      </c>
      <c r="E161">
        <v>409234</v>
      </c>
      <c r="F161" t="s">
        <v>10</v>
      </c>
    </row>
    <row r="162" spans="1:6" x14ac:dyDescent="0.35">
      <c r="A162">
        <v>8310</v>
      </c>
      <c r="B162" s="1">
        <v>45037</v>
      </c>
      <c r="C162">
        <v>187.35</v>
      </c>
      <c r="D162" t="s">
        <v>12</v>
      </c>
      <c r="E162">
        <v>871667</v>
      </c>
      <c r="F162" t="s">
        <v>7</v>
      </c>
    </row>
    <row r="163" spans="1:6" x14ac:dyDescent="0.35">
      <c r="A163">
        <v>9276</v>
      </c>
      <c r="B163" s="1">
        <v>45037</v>
      </c>
      <c r="C163">
        <v>421.77</v>
      </c>
      <c r="D163" t="s">
        <v>13</v>
      </c>
      <c r="E163">
        <v>196411</v>
      </c>
      <c r="F163" t="s">
        <v>11</v>
      </c>
    </row>
    <row r="164" spans="1:6" x14ac:dyDescent="0.35">
      <c r="A164">
        <v>9537</v>
      </c>
      <c r="B164" s="1">
        <v>45037</v>
      </c>
      <c r="C164">
        <v>688.46</v>
      </c>
      <c r="D164" t="s">
        <v>12</v>
      </c>
      <c r="E164">
        <v>245584</v>
      </c>
      <c r="F164" t="s">
        <v>11</v>
      </c>
    </row>
    <row r="165" spans="1:6" x14ac:dyDescent="0.35">
      <c r="A165">
        <v>9267</v>
      </c>
      <c r="B165" s="1">
        <v>45037</v>
      </c>
      <c r="C165">
        <v>131.93</v>
      </c>
      <c r="D165" t="s">
        <v>8</v>
      </c>
      <c r="E165">
        <v>493417</v>
      </c>
      <c r="F165" t="s">
        <v>11</v>
      </c>
    </row>
    <row r="166" spans="1:6" x14ac:dyDescent="0.35">
      <c r="A166">
        <v>6234</v>
      </c>
      <c r="B166" s="1">
        <v>45037</v>
      </c>
      <c r="C166">
        <v>639.82000000000005</v>
      </c>
      <c r="D166" t="s">
        <v>8</v>
      </c>
      <c r="E166">
        <v>961574</v>
      </c>
      <c r="F166" t="s">
        <v>11</v>
      </c>
    </row>
    <row r="167" spans="1:6" x14ac:dyDescent="0.35">
      <c r="A167">
        <v>2481</v>
      </c>
      <c r="B167" s="1">
        <v>45037</v>
      </c>
      <c r="C167">
        <v>809.52</v>
      </c>
      <c r="D167" t="s">
        <v>6</v>
      </c>
      <c r="E167">
        <v>966529</v>
      </c>
      <c r="F167" t="s">
        <v>10</v>
      </c>
    </row>
    <row r="168" spans="1:6" x14ac:dyDescent="0.35">
      <c r="A168">
        <v>6770</v>
      </c>
      <c r="B168" s="1">
        <v>45037</v>
      </c>
      <c r="C168">
        <v>148.56</v>
      </c>
      <c r="D168" t="s">
        <v>13</v>
      </c>
      <c r="E168">
        <v>292988</v>
      </c>
      <c r="F168" t="s">
        <v>10</v>
      </c>
    </row>
    <row r="169" spans="1:6" x14ac:dyDescent="0.35">
      <c r="A169">
        <v>6816</v>
      </c>
      <c r="B169" s="1">
        <v>45037</v>
      </c>
      <c r="C169">
        <v>650.53</v>
      </c>
      <c r="D169" t="s">
        <v>8</v>
      </c>
      <c r="E169">
        <v>690579</v>
      </c>
      <c r="F169" t="s">
        <v>7</v>
      </c>
    </row>
    <row r="170" spans="1:6" x14ac:dyDescent="0.35">
      <c r="A170">
        <v>3131</v>
      </c>
      <c r="B170" s="1">
        <v>45037</v>
      </c>
      <c r="C170">
        <v>588.15</v>
      </c>
      <c r="D170" t="s">
        <v>6</v>
      </c>
      <c r="E170">
        <v>105919</v>
      </c>
      <c r="F170" t="s">
        <v>11</v>
      </c>
    </row>
    <row r="171" spans="1:6" x14ac:dyDescent="0.35">
      <c r="A171">
        <v>3527</v>
      </c>
      <c r="B171" s="1">
        <v>45037</v>
      </c>
      <c r="C171">
        <v>189.04</v>
      </c>
      <c r="D171" t="s">
        <v>12</v>
      </c>
      <c r="E171">
        <v>856215</v>
      </c>
      <c r="F171" t="s">
        <v>7</v>
      </c>
    </row>
    <row r="172" spans="1:6" x14ac:dyDescent="0.35">
      <c r="A172">
        <v>5371</v>
      </c>
      <c r="B172" s="1">
        <v>45037</v>
      </c>
      <c r="C172">
        <v>789.5</v>
      </c>
      <c r="D172" t="s">
        <v>8</v>
      </c>
      <c r="E172">
        <v>501124</v>
      </c>
      <c r="F172" t="s">
        <v>10</v>
      </c>
    </row>
    <row r="173" spans="1:6" x14ac:dyDescent="0.35">
      <c r="A173">
        <v>7043</v>
      </c>
      <c r="B173" s="1">
        <v>45037</v>
      </c>
      <c r="C173">
        <v>609.83000000000004</v>
      </c>
      <c r="D173" t="s">
        <v>8</v>
      </c>
      <c r="E173">
        <v>915573</v>
      </c>
      <c r="F173" t="s">
        <v>9</v>
      </c>
    </row>
    <row r="174" spans="1:6" x14ac:dyDescent="0.35">
      <c r="A174">
        <v>4450</v>
      </c>
      <c r="B174" s="1">
        <v>45037</v>
      </c>
      <c r="C174">
        <v>403.08</v>
      </c>
      <c r="D174" t="s">
        <v>8</v>
      </c>
      <c r="E174">
        <v>166891</v>
      </c>
      <c r="F174" t="s">
        <v>7</v>
      </c>
    </row>
    <row r="175" spans="1:6" x14ac:dyDescent="0.35">
      <c r="A175">
        <v>7151</v>
      </c>
      <c r="B175" s="1">
        <v>45037</v>
      </c>
      <c r="C175">
        <v>734.67</v>
      </c>
      <c r="D175" t="s">
        <v>8</v>
      </c>
      <c r="E175">
        <v>454366</v>
      </c>
      <c r="F175" t="s">
        <v>7</v>
      </c>
    </row>
    <row r="176" spans="1:6" x14ac:dyDescent="0.35">
      <c r="A176">
        <v>2296</v>
      </c>
      <c r="B176" s="1">
        <v>45037</v>
      </c>
      <c r="C176">
        <v>350.19</v>
      </c>
      <c r="D176" t="s">
        <v>6</v>
      </c>
      <c r="E176">
        <v>432270</v>
      </c>
      <c r="F176" t="s">
        <v>11</v>
      </c>
    </row>
    <row r="177" spans="1:6" x14ac:dyDescent="0.35">
      <c r="A177">
        <v>2234</v>
      </c>
      <c r="B177" s="1">
        <v>45038</v>
      </c>
      <c r="C177">
        <v>951.78</v>
      </c>
      <c r="D177" t="s">
        <v>13</v>
      </c>
      <c r="E177">
        <v>586490</v>
      </c>
      <c r="F177" t="s">
        <v>7</v>
      </c>
    </row>
    <row r="178" spans="1:6" x14ac:dyDescent="0.35">
      <c r="A178">
        <v>2083</v>
      </c>
      <c r="B178" s="1">
        <v>45038</v>
      </c>
      <c r="C178">
        <v>927.83</v>
      </c>
      <c r="D178" t="s">
        <v>13</v>
      </c>
      <c r="E178">
        <v>747033</v>
      </c>
      <c r="F178" t="s">
        <v>7</v>
      </c>
    </row>
    <row r="179" spans="1:6" x14ac:dyDescent="0.35">
      <c r="A179">
        <v>4022</v>
      </c>
      <c r="B179" s="1">
        <v>45038</v>
      </c>
      <c r="C179">
        <v>644.07000000000005</v>
      </c>
      <c r="D179" t="s">
        <v>13</v>
      </c>
      <c r="E179">
        <v>514798</v>
      </c>
      <c r="F179" t="s">
        <v>10</v>
      </c>
    </row>
    <row r="180" spans="1:6" x14ac:dyDescent="0.35">
      <c r="A180">
        <v>2577</v>
      </c>
      <c r="B180" s="1">
        <v>45038</v>
      </c>
      <c r="C180">
        <v>481.11</v>
      </c>
      <c r="D180" t="s">
        <v>8</v>
      </c>
      <c r="E180">
        <v>921945</v>
      </c>
      <c r="F180" t="s">
        <v>10</v>
      </c>
    </row>
    <row r="181" spans="1:6" x14ac:dyDescent="0.35">
      <c r="A181">
        <v>4585</v>
      </c>
      <c r="B181" s="1">
        <v>45038</v>
      </c>
      <c r="C181">
        <v>806.07</v>
      </c>
      <c r="D181" t="s">
        <v>13</v>
      </c>
      <c r="E181">
        <v>152657</v>
      </c>
      <c r="F181" t="s">
        <v>9</v>
      </c>
    </row>
    <row r="182" spans="1:6" x14ac:dyDescent="0.35">
      <c r="A182">
        <v>5557</v>
      </c>
      <c r="B182" s="1">
        <v>45038</v>
      </c>
      <c r="C182">
        <v>996.98</v>
      </c>
      <c r="D182" t="s">
        <v>13</v>
      </c>
      <c r="E182">
        <v>765620</v>
      </c>
      <c r="F182" t="s">
        <v>7</v>
      </c>
    </row>
    <row r="183" spans="1:6" x14ac:dyDescent="0.35">
      <c r="A183">
        <v>2121</v>
      </c>
      <c r="B183" s="1">
        <v>45038</v>
      </c>
      <c r="C183">
        <v>145.26</v>
      </c>
      <c r="D183" t="s">
        <v>8</v>
      </c>
      <c r="E183">
        <v>767830</v>
      </c>
      <c r="F183" t="s">
        <v>7</v>
      </c>
    </row>
    <row r="184" spans="1:6" x14ac:dyDescent="0.35">
      <c r="A184">
        <v>8178</v>
      </c>
      <c r="B184" s="1">
        <v>45038</v>
      </c>
      <c r="C184">
        <v>615.21</v>
      </c>
      <c r="D184" t="s">
        <v>6</v>
      </c>
      <c r="E184">
        <v>741055</v>
      </c>
      <c r="F184" t="s">
        <v>10</v>
      </c>
    </row>
    <row r="185" spans="1:6" x14ac:dyDescent="0.35">
      <c r="A185">
        <v>4164</v>
      </c>
      <c r="B185" s="1">
        <v>45038</v>
      </c>
      <c r="C185">
        <v>614.84</v>
      </c>
      <c r="D185" t="s">
        <v>13</v>
      </c>
      <c r="E185">
        <v>967161</v>
      </c>
      <c r="F185" t="s">
        <v>7</v>
      </c>
    </row>
    <row r="186" spans="1:6" x14ac:dyDescent="0.35">
      <c r="A186">
        <v>9821</v>
      </c>
      <c r="B186" s="1">
        <v>45038</v>
      </c>
      <c r="C186">
        <v>979.58</v>
      </c>
      <c r="D186" t="s">
        <v>6</v>
      </c>
      <c r="E186">
        <v>472358</v>
      </c>
      <c r="F186" t="s">
        <v>11</v>
      </c>
    </row>
    <row r="187" spans="1:6" x14ac:dyDescent="0.35">
      <c r="A187">
        <v>8135</v>
      </c>
      <c r="B187" s="1">
        <v>45038</v>
      </c>
      <c r="C187">
        <v>736.46</v>
      </c>
      <c r="D187" t="s">
        <v>6</v>
      </c>
      <c r="E187">
        <v>745830</v>
      </c>
      <c r="F187" t="s">
        <v>7</v>
      </c>
    </row>
    <row r="188" spans="1:6" x14ac:dyDescent="0.35">
      <c r="A188">
        <v>5254</v>
      </c>
      <c r="B188" s="1">
        <v>45038</v>
      </c>
      <c r="C188">
        <v>553.08000000000004</v>
      </c>
      <c r="D188" t="s">
        <v>12</v>
      </c>
      <c r="E188">
        <v>382495</v>
      </c>
      <c r="F188" t="s">
        <v>7</v>
      </c>
    </row>
    <row r="189" spans="1:6" x14ac:dyDescent="0.35">
      <c r="A189">
        <v>9796</v>
      </c>
      <c r="B189" s="1">
        <v>45038</v>
      </c>
      <c r="C189">
        <v>372.14</v>
      </c>
      <c r="D189" t="s">
        <v>12</v>
      </c>
      <c r="E189">
        <v>579776</v>
      </c>
      <c r="F189" t="s">
        <v>10</v>
      </c>
    </row>
    <row r="190" spans="1:6" x14ac:dyDescent="0.35">
      <c r="A190">
        <v>3877</v>
      </c>
      <c r="B190" s="1">
        <v>45039</v>
      </c>
      <c r="C190">
        <v>140.84</v>
      </c>
      <c r="D190" t="s">
        <v>6</v>
      </c>
      <c r="E190">
        <v>656639</v>
      </c>
      <c r="F190" t="s">
        <v>11</v>
      </c>
    </row>
    <row r="191" spans="1:6" x14ac:dyDescent="0.35">
      <c r="A191">
        <v>9571</v>
      </c>
      <c r="B191" s="1">
        <v>45039</v>
      </c>
      <c r="C191">
        <v>364.34</v>
      </c>
      <c r="D191" t="s">
        <v>13</v>
      </c>
      <c r="E191">
        <v>409698</v>
      </c>
      <c r="F191" t="s">
        <v>9</v>
      </c>
    </row>
    <row r="192" spans="1:6" x14ac:dyDescent="0.35">
      <c r="A192">
        <v>4755</v>
      </c>
      <c r="B192" s="1">
        <v>45039</v>
      </c>
      <c r="C192">
        <v>836.59</v>
      </c>
      <c r="D192" t="s">
        <v>6</v>
      </c>
      <c r="E192">
        <v>263573</v>
      </c>
      <c r="F192" t="s">
        <v>10</v>
      </c>
    </row>
    <row r="193" spans="1:6" x14ac:dyDescent="0.35">
      <c r="A193">
        <v>5470</v>
      </c>
      <c r="B193" s="1">
        <v>45039</v>
      </c>
      <c r="C193">
        <v>810.73</v>
      </c>
      <c r="D193" t="s">
        <v>6</v>
      </c>
      <c r="E193">
        <v>270387</v>
      </c>
      <c r="F193" t="s">
        <v>7</v>
      </c>
    </row>
    <row r="194" spans="1:6" x14ac:dyDescent="0.35">
      <c r="A194">
        <v>3846</v>
      </c>
      <c r="B194" s="1">
        <v>45039</v>
      </c>
      <c r="C194">
        <v>876.43</v>
      </c>
      <c r="D194" t="s">
        <v>12</v>
      </c>
      <c r="E194">
        <v>977633</v>
      </c>
      <c r="F194" t="s">
        <v>10</v>
      </c>
    </row>
    <row r="195" spans="1:6" x14ac:dyDescent="0.35">
      <c r="A195">
        <v>4054</v>
      </c>
      <c r="B195" s="1">
        <v>45039</v>
      </c>
      <c r="C195">
        <v>505.64</v>
      </c>
      <c r="D195" t="s">
        <v>13</v>
      </c>
      <c r="E195">
        <v>687923</v>
      </c>
      <c r="F195" t="s">
        <v>10</v>
      </c>
    </row>
    <row r="196" spans="1:6" x14ac:dyDescent="0.35">
      <c r="A196">
        <v>3363</v>
      </c>
      <c r="B196" s="1">
        <v>45039</v>
      </c>
      <c r="C196">
        <v>606.44000000000005</v>
      </c>
      <c r="D196" t="s">
        <v>13</v>
      </c>
      <c r="E196">
        <v>624369</v>
      </c>
      <c r="F196" t="s">
        <v>10</v>
      </c>
    </row>
    <row r="197" spans="1:6" x14ac:dyDescent="0.35">
      <c r="A197">
        <v>5105</v>
      </c>
      <c r="B197" s="1">
        <v>45039</v>
      </c>
      <c r="C197">
        <v>638.71</v>
      </c>
      <c r="D197" t="s">
        <v>6</v>
      </c>
      <c r="E197">
        <v>231250</v>
      </c>
      <c r="F197" t="s">
        <v>11</v>
      </c>
    </row>
    <row r="198" spans="1:6" x14ac:dyDescent="0.35">
      <c r="A198">
        <v>2462</v>
      </c>
      <c r="B198" s="1">
        <v>45039</v>
      </c>
      <c r="C198">
        <v>447.3</v>
      </c>
      <c r="D198" t="s">
        <v>13</v>
      </c>
      <c r="E198">
        <v>876936</v>
      </c>
      <c r="F198" t="s">
        <v>7</v>
      </c>
    </row>
    <row r="199" spans="1:6" x14ac:dyDescent="0.35">
      <c r="A199">
        <v>5051</v>
      </c>
      <c r="B199" s="1">
        <v>45039</v>
      </c>
      <c r="C199">
        <v>840.84</v>
      </c>
      <c r="D199" t="s">
        <v>12</v>
      </c>
      <c r="E199">
        <v>350132</v>
      </c>
      <c r="F199" t="s">
        <v>9</v>
      </c>
    </row>
    <row r="200" spans="1:6" x14ac:dyDescent="0.35">
      <c r="A200">
        <v>9824</v>
      </c>
      <c r="B200" s="1">
        <v>45039</v>
      </c>
      <c r="C200">
        <v>270.60000000000002</v>
      </c>
      <c r="D200" t="s">
        <v>8</v>
      </c>
      <c r="E200">
        <v>862760</v>
      </c>
      <c r="F200" t="s">
        <v>10</v>
      </c>
    </row>
    <row r="201" spans="1:6" x14ac:dyDescent="0.35">
      <c r="A201">
        <v>7669</v>
      </c>
      <c r="B201" s="1">
        <v>45039</v>
      </c>
      <c r="C201">
        <v>103.38</v>
      </c>
      <c r="D201" t="s">
        <v>13</v>
      </c>
      <c r="E201">
        <v>471507</v>
      </c>
      <c r="F201" t="s">
        <v>7</v>
      </c>
    </row>
    <row r="202" spans="1:6" x14ac:dyDescent="0.35">
      <c r="A202">
        <v>2702</v>
      </c>
      <c r="B202" s="1">
        <v>45040</v>
      </c>
      <c r="C202">
        <v>542.38</v>
      </c>
      <c r="D202" t="s">
        <v>13</v>
      </c>
      <c r="E202">
        <v>777968</v>
      </c>
      <c r="F202" t="s">
        <v>10</v>
      </c>
    </row>
    <row r="203" spans="1:6" x14ac:dyDescent="0.35">
      <c r="A203">
        <v>5861</v>
      </c>
      <c r="B203" s="1">
        <v>45040</v>
      </c>
      <c r="C203">
        <v>969.02</v>
      </c>
      <c r="D203" t="s">
        <v>8</v>
      </c>
      <c r="E203">
        <v>884309</v>
      </c>
      <c r="F203" t="s">
        <v>11</v>
      </c>
    </row>
    <row r="204" spans="1:6" x14ac:dyDescent="0.35">
      <c r="A204">
        <v>6633</v>
      </c>
      <c r="B204" s="1">
        <v>45040</v>
      </c>
      <c r="C204">
        <v>418.53</v>
      </c>
      <c r="D204" t="s">
        <v>12</v>
      </c>
      <c r="E204">
        <v>268772</v>
      </c>
      <c r="F204" t="s">
        <v>9</v>
      </c>
    </row>
    <row r="205" spans="1:6" x14ac:dyDescent="0.35">
      <c r="A205">
        <v>9595</v>
      </c>
      <c r="B205" s="1">
        <v>45040</v>
      </c>
      <c r="C205">
        <v>698.87</v>
      </c>
      <c r="D205" t="s">
        <v>8</v>
      </c>
      <c r="E205">
        <v>214611</v>
      </c>
      <c r="F205" t="s">
        <v>10</v>
      </c>
    </row>
    <row r="206" spans="1:6" x14ac:dyDescent="0.35">
      <c r="A206">
        <v>4943</v>
      </c>
      <c r="B206" s="1">
        <v>45040</v>
      </c>
      <c r="C206">
        <v>76.62</v>
      </c>
      <c r="D206" t="s">
        <v>8</v>
      </c>
      <c r="E206">
        <v>568127</v>
      </c>
      <c r="F206" t="s">
        <v>10</v>
      </c>
    </row>
    <row r="207" spans="1:6" x14ac:dyDescent="0.35">
      <c r="A207">
        <v>1149</v>
      </c>
      <c r="B207" s="1">
        <v>45040</v>
      </c>
      <c r="C207">
        <v>510.68</v>
      </c>
      <c r="D207" t="s">
        <v>6</v>
      </c>
      <c r="E207">
        <v>163386</v>
      </c>
      <c r="F207" t="s">
        <v>7</v>
      </c>
    </row>
    <row r="208" spans="1:6" x14ac:dyDescent="0.35">
      <c r="A208">
        <v>8848</v>
      </c>
      <c r="B208" s="1">
        <v>45040</v>
      </c>
      <c r="C208">
        <v>594.88</v>
      </c>
      <c r="D208" t="s">
        <v>13</v>
      </c>
      <c r="E208">
        <v>123536</v>
      </c>
      <c r="F208" t="s">
        <v>9</v>
      </c>
    </row>
    <row r="209" spans="1:6" x14ac:dyDescent="0.35">
      <c r="A209">
        <v>4291</v>
      </c>
      <c r="B209" s="1">
        <v>45040</v>
      </c>
      <c r="C209">
        <v>627.92999999999995</v>
      </c>
      <c r="D209" t="s">
        <v>6</v>
      </c>
      <c r="E209">
        <v>819964</v>
      </c>
      <c r="F209" t="s">
        <v>11</v>
      </c>
    </row>
    <row r="210" spans="1:6" x14ac:dyDescent="0.35">
      <c r="A210">
        <v>4882</v>
      </c>
      <c r="B210" s="1">
        <v>45040</v>
      </c>
      <c r="C210">
        <v>812.6</v>
      </c>
      <c r="D210" t="s">
        <v>6</v>
      </c>
      <c r="E210">
        <v>845279</v>
      </c>
      <c r="F210" t="s">
        <v>7</v>
      </c>
    </row>
    <row r="211" spans="1:6" x14ac:dyDescent="0.35">
      <c r="A211">
        <v>8311</v>
      </c>
      <c r="B211" s="1">
        <v>45040</v>
      </c>
      <c r="C211">
        <v>996.4</v>
      </c>
      <c r="D211" t="s">
        <v>6</v>
      </c>
      <c r="E211">
        <v>827691</v>
      </c>
      <c r="F211" t="s">
        <v>7</v>
      </c>
    </row>
    <row r="212" spans="1:6" x14ac:dyDescent="0.35">
      <c r="A212">
        <v>6617</v>
      </c>
      <c r="B212" s="1">
        <v>45040</v>
      </c>
      <c r="C212">
        <v>690.62</v>
      </c>
      <c r="D212" t="s">
        <v>6</v>
      </c>
      <c r="E212">
        <v>629959</v>
      </c>
      <c r="F212" t="s">
        <v>7</v>
      </c>
    </row>
    <row r="213" spans="1:6" x14ac:dyDescent="0.35">
      <c r="A213">
        <v>1256</v>
      </c>
      <c r="B213" s="1">
        <v>45040</v>
      </c>
      <c r="C213">
        <v>591.16999999999996</v>
      </c>
      <c r="D213" t="s">
        <v>13</v>
      </c>
      <c r="E213">
        <v>180674</v>
      </c>
      <c r="F213" t="s">
        <v>11</v>
      </c>
    </row>
    <row r="214" spans="1:6" x14ac:dyDescent="0.35">
      <c r="A214">
        <v>5809</v>
      </c>
      <c r="B214" s="1">
        <v>45040</v>
      </c>
      <c r="C214">
        <v>950.81</v>
      </c>
      <c r="D214" t="s">
        <v>13</v>
      </c>
      <c r="E214">
        <v>688602</v>
      </c>
      <c r="F214" t="s">
        <v>10</v>
      </c>
    </row>
    <row r="215" spans="1:6" x14ac:dyDescent="0.35">
      <c r="A215">
        <v>5272</v>
      </c>
      <c r="B215" s="1">
        <v>45040</v>
      </c>
      <c r="C215">
        <v>673.03</v>
      </c>
      <c r="D215" t="s">
        <v>6</v>
      </c>
      <c r="E215">
        <v>350280</v>
      </c>
      <c r="F215" t="s">
        <v>11</v>
      </c>
    </row>
    <row r="216" spans="1:6" x14ac:dyDescent="0.35">
      <c r="A216">
        <v>6820</v>
      </c>
      <c r="B216" s="1">
        <v>45040</v>
      </c>
      <c r="C216">
        <v>673.47</v>
      </c>
      <c r="D216" t="s">
        <v>8</v>
      </c>
      <c r="E216">
        <v>738720</v>
      </c>
      <c r="F216" t="s">
        <v>9</v>
      </c>
    </row>
    <row r="217" spans="1:6" x14ac:dyDescent="0.35">
      <c r="A217">
        <v>8609</v>
      </c>
      <c r="B217" s="1">
        <v>45040</v>
      </c>
      <c r="C217">
        <v>346.79</v>
      </c>
      <c r="D217" t="s">
        <v>12</v>
      </c>
      <c r="E217">
        <v>427766</v>
      </c>
      <c r="F217" t="s">
        <v>11</v>
      </c>
    </row>
    <row r="218" spans="1:6" x14ac:dyDescent="0.35">
      <c r="A218">
        <v>6363</v>
      </c>
      <c r="B218" s="1">
        <v>45040</v>
      </c>
      <c r="C218">
        <v>460.15</v>
      </c>
      <c r="D218" t="s">
        <v>6</v>
      </c>
      <c r="E218">
        <v>898207</v>
      </c>
      <c r="F218" t="s">
        <v>7</v>
      </c>
    </row>
    <row r="219" spans="1:6" x14ac:dyDescent="0.35">
      <c r="A219">
        <v>2072</v>
      </c>
      <c r="B219" s="1">
        <v>45040</v>
      </c>
      <c r="C219">
        <v>673.63</v>
      </c>
      <c r="D219" t="s">
        <v>12</v>
      </c>
      <c r="E219">
        <v>818699</v>
      </c>
      <c r="F219" t="s">
        <v>7</v>
      </c>
    </row>
    <row r="220" spans="1:6" x14ac:dyDescent="0.35">
      <c r="A220">
        <v>4944</v>
      </c>
      <c r="B220" s="1">
        <v>45040</v>
      </c>
      <c r="C220">
        <v>587.51</v>
      </c>
      <c r="D220" t="s">
        <v>8</v>
      </c>
      <c r="E220">
        <v>152995</v>
      </c>
      <c r="F220" t="s">
        <v>11</v>
      </c>
    </row>
    <row r="221" spans="1:6" x14ac:dyDescent="0.35">
      <c r="A221">
        <v>8355</v>
      </c>
      <c r="B221" s="1">
        <v>45041</v>
      </c>
      <c r="C221">
        <v>538.66999999999996</v>
      </c>
      <c r="D221" t="s">
        <v>6</v>
      </c>
      <c r="E221">
        <v>947903</v>
      </c>
      <c r="F221" t="s">
        <v>7</v>
      </c>
    </row>
    <row r="222" spans="1:6" x14ac:dyDescent="0.35">
      <c r="A222">
        <v>3938</v>
      </c>
      <c r="B222" s="1">
        <v>45041</v>
      </c>
      <c r="C222">
        <v>806.29</v>
      </c>
      <c r="D222" t="s">
        <v>8</v>
      </c>
      <c r="E222">
        <v>520400</v>
      </c>
      <c r="F222" t="s">
        <v>10</v>
      </c>
    </row>
    <row r="223" spans="1:6" x14ac:dyDescent="0.35">
      <c r="A223">
        <v>5076</v>
      </c>
      <c r="B223" s="1">
        <v>45041</v>
      </c>
      <c r="C223">
        <v>696.59</v>
      </c>
      <c r="D223" t="s">
        <v>6</v>
      </c>
      <c r="E223">
        <v>427252</v>
      </c>
      <c r="F223" t="s">
        <v>9</v>
      </c>
    </row>
    <row r="224" spans="1:6" x14ac:dyDescent="0.35">
      <c r="A224">
        <v>7870</v>
      </c>
      <c r="B224" s="1">
        <v>45041</v>
      </c>
      <c r="C224">
        <v>328.58</v>
      </c>
      <c r="D224" t="s">
        <v>13</v>
      </c>
      <c r="E224">
        <v>855276</v>
      </c>
      <c r="F224" t="s">
        <v>11</v>
      </c>
    </row>
    <row r="225" spans="1:6" x14ac:dyDescent="0.35">
      <c r="A225">
        <v>6085</v>
      </c>
      <c r="B225" s="1">
        <v>45041</v>
      </c>
      <c r="C225">
        <v>808.5</v>
      </c>
      <c r="D225" t="s">
        <v>12</v>
      </c>
      <c r="E225">
        <v>125611</v>
      </c>
      <c r="F225" t="s">
        <v>10</v>
      </c>
    </row>
    <row r="226" spans="1:6" x14ac:dyDescent="0.35">
      <c r="A226">
        <v>5920</v>
      </c>
      <c r="B226" s="1">
        <v>45041</v>
      </c>
      <c r="C226">
        <v>222.67</v>
      </c>
      <c r="D226" t="s">
        <v>6</v>
      </c>
      <c r="E226">
        <v>122755</v>
      </c>
      <c r="F226" t="s">
        <v>11</v>
      </c>
    </row>
    <row r="227" spans="1:6" x14ac:dyDescent="0.35">
      <c r="A227">
        <v>1391</v>
      </c>
      <c r="B227" s="1">
        <v>45041</v>
      </c>
      <c r="C227">
        <v>546.13</v>
      </c>
      <c r="D227" t="s">
        <v>8</v>
      </c>
      <c r="E227">
        <v>451291</v>
      </c>
      <c r="F227" t="s">
        <v>10</v>
      </c>
    </row>
    <row r="228" spans="1:6" x14ac:dyDescent="0.35">
      <c r="A228">
        <v>9700</v>
      </c>
      <c r="B228" s="1">
        <v>45041</v>
      </c>
      <c r="C228">
        <v>641.57000000000005</v>
      </c>
      <c r="D228" t="s">
        <v>8</v>
      </c>
      <c r="E228">
        <v>205065</v>
      </c>
      <c r="F228" t="s">
        <v>7</v>
      </c>
    </row>
    <row r="229" spans="1:6" x14ac:dyDescent="0.35">
      <c r="A229">
        <v>1744</v>
      </c>
      <c r="B229" s="1">
        <v>45041</v>
      </c>
      <c r="C229">
        <v>401.31</v>
      </c>
      <c r="D229" t="s">
        <v>8</v>
      </c>
      <c r="E229">
        <v>108060</v>
      </c>
      <c r="F229" t="s">
        <v>9</v>
      </c>
    </row>
    <row r="230" spans="1:6" x14ac:dyDescent="0.35">
      <c r="A230">
        <v>4166</v>
      </c>
      <c r="B230" s="1">
        <v>45041</v>
      </c>
      <c r="C230">
        <v>41.91</v>
      </c>
      <c r="D230" t="s">
        <v>8</v>
      </c>
      <c r="E230">
        <v>382967</v>
      </c>
      <c r="F230" t="s">
        <v>7</v>
      </c>
    </row>
    <row r="231" spans="1:6" x14ac:dyDescent="0.35">
      <c r="A231">
        <v>6068</v>
      </c>
      <c r="B231" s="1">
        <v>45041</v>
      </c>
      <c r="C231">
        <v>254.92</v>
      </c>
      <c r="D231" t="s">
        <v>6</v>
      </c>
      <c r="E231">
        <v>564687</v>
      </c>
      <c r="F231" t="s">
        <v>9</v>
      </c>
    </row>
    <row r="232" spans="1:6" x14ac:dyDescent="0.35">
      <c r="A232">
        <v>9922</v>
      </c>
      <c r="B232" s="1">
        <v>45041</v>
      </c>
      <c r="C232">
        <v>651.16</v>
      </c>
      <c r="D232" t="s">
        <v>6</v>
      </c>
      <c r="E232">
        <v>966785</v>
      </c>
      <c r="F232" t="s">
        <v>9</v>
      </c>
    </row>
    <row r="233" spans="1:6" x14ac:dyDescent="0.35">
      <c r="A233">
        <v>8711</v>
      </c>
      <c r="B233" s="1">
        <v>45041</v>
      </c>
      <c r="C233">
        <v>207.58</v>
      </c>
      <c r="D233" t="s">
        <v>13</v>
      </c>
      <c r="E233">
        <v>466643</v>
      </c>
      <c r="F233" t="s">
        <v>11</v>
      </c>
    </row>
    <row r="234" spans="1:6" x14ac:dyDescent="0.35">
      <c r="A234">
        <v>9841</v>
      </c>
      <c r="B234" s="1">
        <v>45041</v>
      </c>
      <c r="C234">
        <v>806.66</v>
      </c>
      <c r="D234" t="s">
        <v>13</v>
      </c>
      <c r="E234">
        <v>422823</v>
      </c>
      <c r="F234" t="s">
        <v>11</v>
      </c>
    </row>
    <row r="235" spans="1:6" x14ac:dyDescent="0.35">
      <c r="A235">
        <v>4728</v>
      </c>
      <c r="B235" s="1">
        <v>45041</v>
      </c>
      <c r="C235">
        <v>33.43</v>
      </c>
      <c r="D235" t="s">
        <v>12</v>
      </c>
      <c r="E235">
        <v>517821</v>
      </c>
      <c r="F235" t="s">
        <v>11</v>
      </c>
    </row>
    <row r="236" spans="1:6" x14ac:dyDescent="0.35">
      <c r="A236">
        <v>5853</v>
      </c>
      <c r="B236" s="1">
        <v>45041</v>
      </c>
      <c r="C236">
        <v>367.27</v>
      </c>
      <c r="D236" t="s">
        <v>6</v>
      </c>
      <c r="E236">
        <v>114835</v>
      </c>
      <c r="F236" t="s">
        <v>9</v>
      </c>
    </row>
    <row r="237" spans="1:6" x14ac:dyDescent="0.35">
      <c r="A237">
        <v>4804</v>
      </c>
      <c r="B237" s="1">
        <v>45041</v>
      </c>
      <c r="C237">
        <v>690.5</v>
      </c>
      <c r="D237" t="s">
        <v>6</v>
      </c>
      <c r="E237">
        <v>183336</v>
      </c>
      <c r="F237" t="s">
        <v>7</v>
      </c>
    </row>
    <row r="238" spans="1:6" x14ac:dyDescent="0.35">
      <c r="A238">
        <v>1920</v>
      </c>
      <c r="B238" s="1">
        <v>45041</v>
      </c>
      <c r="C238">
        <v>605.65</v>
      </c>
      <c r="D238" t="s">
        <v>8</v>
      </c>
      <c r="E238">
        <v>652021</v>
      </c>
      <c r="F238" t="s">
        <v>7</v>
      </c>
    </row>
    <row r="239" spans="1:6" x14ac:dyDescent="0.35">
      <c r="A239">
        <v>2527</v>
      </c>
      <c r="B239" s="1">
        <v>45041</v>
      </c>
      <c r="C239">
        <v>992.33</v>
      </c>
      <c r="D239" t="s">
        <v>8</v>
      </c>
      <c r="E239">
        <v>583863</v>
      </c>
      <c r="F239" t="s">
        <v>10</v>
      </c>
    </row>
    <row r="240" spans="1:6" x14ac:dyDescent="0.35">
      <c r="A240">
        <v>8579</v>
      </c>
      <c r="B240" s="1">
        <v>45042</v>
      </c>
      <c r="C240">
        <v>875.74</v>
      </c>
      <c r="D240" t="s">
        <v>8</v>
      </c>
      <c r="E240">
        <v>564656</v>
      </c>
      <c r="F240" t="s">
        <v>10</v>
      </c>
    </row>
    <row r="241" spans="1:6" x14ac:dyDescent="0.35">
      <c r="A241">
        <v>1651</v>
      </c>
      <c r="B241" s="1">
        <v>45042</v>
      </c>
      <c r="C241">
        <v>923.05</v>
      </c>
      <c r="D241" t="s">
        <v>6</v>
      </c>
      <c r="E241">
        <v>449773</v>
      </c>
      <c r="F241" t="s">
        <v>7</v>
      </c>
    </row>
    <row r="242" spans="1:6" x14ac:dyDescent="0.35">
      <c r="A242">
        <v>2847</v>
      </c>
      <c r="B242" s="1">
        <v>45042</v>
      </c>
      <c r="C242">
        <v>504.59</v>
      </c>
      <c r="D242" t="s">
        <v>8</v>
      </c>
      <c r="E242">
        <v>653948</v>
      </c>
      <c r="F242" t="s">
        <v>10</v>
      </c>
    </row>
    <row r="243" spans="1:6" x14ac:dyDescent="0.35">
      <c r="A243">
        <v>6228</v>
      </c>
      <c r="B243" s="1">
        <v>45042</v>
      </c>
      <c r="C243">
        <v>471.81</v>
      </c>
      <c r="D243" t="s">
        <v>6</v>
      </c>
      <c r="E243">
        <v>571435</v>
      </c>
      <c r="F243" t="s">
        <v>9</v>
      </c>
    </row>
    <row r="244" spans="1:6" x14ac:dyDescent="0.35">
      <c r="A244">
        <v>3275</v>
      </c>
      <c r="B244" s="1">
        <v>45042</v>
      </c>
      <c r="C244">
        <v>792.47</v>
      </c>
      <c r="D244" t="s">
        <v>8</v>
      </c>
      <c r="E244">
        <v>478427</v>
      </c>
      <c r="F244" t="s">
        <v>11</v>
      </c>
    </row>
    <row r="245" spans="1:6" x14ac:dyDescent="0.35">
      <c r="A245">
        <v>2982</v>
      </c>
      <c r="B245" s="1">
        <v>45042</v>
      </c>
      <c r="C245">
        <v>232.45</v>
      </c>
      <c r="D245" t="s">
        <v>6</v>
      </c>
      <c r="E245">
        <v>122056</v>
      </c>
      <c r="F245" t="s">
        <v>9</v>
      </c>
    </row>
    <row r="246" spans="1:6" x14ac:dyDescent="0.35">
      <c r="A246">
        <v>6416</v>
      </c>
      <c r="B246" s="1">
        <v>45042</v>
      </c>
      <c r="C246">
        <v>12.71</v>
      </c>
      <c r="D246" t="s">
        <v>8</v>
      </c>
      <c r="E246">
        <v>215795</v>
      </c>
      <c r="F246" t="s">
        <v>7</v>
      </c>
    </row>
    <row r="247" spans="1:6" x14ac:dyDescent="0.35">
      <c r="A247">
        <v>3287</v>
      </c>
      <c r="B247" s="1">
        <v>45042</v>
      </c>
      <c r="C247">
        <v>747.54</v>
      </c>
      <c r="D247" t="s">
        <v>6</v>
      </c>
      <c r="E247">
        <v>883300</v>
      </c>
      <c r="F247" t="s">
        <v>7</v>
      </c>
    </row>
    <row r="248" spans="1:6" x14ac:dyDescent="0.35">
      <c r="A248">
        <v>2101</v>
      </c>
      <c r="B248" s="1">
        <v>45042</v>
      </c>
      <c r="C248">
        <v>780.73</v>
      </c>
      <c r="D248" t="s">
        <v>6</v>
      </c>
      <c r="E248">
        <v>479742</v>
      </c>
      <c r="F248" t="s">
        <v>7</v>
      </c>
    </row>
    <row r="249" spans="1:6" x14ac:dyDescent="0.35">
      <c r="A249">
        <v>4150</v>
      </c>
      <c r="B249" s="1">
        <v>45042</v>
      </c>
      <c r="C249">
        <v>286.22000000000003</v>
      </c>
      <c r="D249" t="s">
        <v>6</v>
      </c>
      <c r="E249">
        <v>335790</v>
      </c>
      <c r="F249" t="s">
        <v>11</v>
      </c>
    </row>
    <row r="250" spans="1:6" x14ac:dyDescent="0.35">
      <c r="A250">
        <v>9084</v>
      </c>
      <c r="B250" s="1">
        <v>45042</v>
      </c>
      <c r="C250">
        <v>224.71</v>
      </c>
      <c r="D250" t="s">
        <v>13</v>
      </c>
      <c r="E250">
        <v>575779</v>
      </c>
      <c r="F250" t="s">
        <v>7</v>
      </c>
    </row>
    <row r="251" spans="1:6" x14ac:dyDescent="0.35">
      <c r="A251">
        <v>7363</v>
      </c>
      <c r="B251" s="1">
        <v>45042</v>
      </c>
      <c r="C251">
        <v>262.45</v>
      </c>
      <c r="D251" t="s">
        <v>6</v>
      </c>
      <c r="E251">
        <v>778120</v>
      </c>
      <c r="F251" t="s">
        <v>10</v>
      </c>
    </row>
    <row r="252" spans="1:6" x14ac:dyDescent="0.35">
      <c r="A252">
        <v>2747</v>
      </c>
      <c r="B252" s="1">
        <v>45042</v>
      </c>
      <c r="C252">
        <v>387.55</v>
      </c>
      <c r="D252" t="s">
        <v>6</v>
      </c>
      <c r="E252">
        <v>702733</v>
      </c>
      <c r="F252" t="s">
        <v>11</v>
      </c>
    </row>
    <row r="253" spans="1:6" x14ac:dyDescent="0.35">
      <c r="A253">
        <v>3573</v>
      </c>
      <c r="B253" s="1">
        <v>45042</v>
      </c>
      <c r="C253">
        <v>182.08</v>
      </c>
      <c r="D253" t="s">
        <v>8</v>
      </c>
      <c r="E253">
        <v>264136</v>
      </c>
      <c r="F253" t="s">
        <v>10</v>
      </c>
    </row>
    <row r="254" spans="1:6" x14ac:dyDescent="0.35">
      <c r="A254">
        <v>6253</v>
      </c>
      <c r="B254" s="1">
        <v>45042</v>
      </c>
      <c r="C254">
        <v>308.75</v>
      </c>
      <c r="D254" t="s">
        <v>12</v>
      </c>
      <c r="E254">
        <v>792282</v>
      </c>
      <c r="F254" t="s">
        <v>9</v>
      </c>
    </row>
    <row r="255" spans="1:6" x14ac:dyDescent="0.35">
      <c r="A255">
        <v>4762</v>
      </c>
      <c r="B255" s="1">
        <v>45042</v>
      </c>
      <c r="C255">
        <v>466.02</v>
      </c>
      <c r="D255" t="s">
        <v>12</v>
      </c>
      <c r="E255">
        <v>389039</v>
      </c>
      <c r="F255" t="s">
        <v>9</v>
      </c>
    </row>
    <row r="256" spans="1:6" x14ac:dyDescent="0.35">
      <c r="A256">
        <v>9680</v>
      </c>
      <c r="B256" s="1">
        <v>45042</v>
      </c>
      <c r="C256">
        <v>425.62</v>
      </c>
      <c r="D256" t="s">
        <v>8</v>
      </c>
      <c r="E256">
        <v>249289</v>
      </c>
      <c r="F256" t="s">
        <v>11</v>
      </c>
    </row>
    <row r="257" spans="1:6" x14ac:dyDescent="0.35">
      <c r="A257">
        <v>3174</v>
      </c>
      <c r="B257" s="1">
        <v>45042</v>
      </c>
      <c r="C257">
        <v>154.78</v>
      </c>
      <c r="D257" t="s">
        <v>6</v>
      </c>
      <c r="E257">
        <v>968726</v>
      </c>
      <c r="F257" t="s">
        <v>9</v>
      </c>
    </row>
    <row r="258" spans="1:6" x14ac:dyDescent="0.35">
      <c r="A258">
        <v>9589</v>
      </c>
      <c r="B258" s="1">
        <v>45042</v>
      </c>
      <c r="C258">
        <v>249.89</v>
      </c>
      <c r="D258" t="s">
        <v>6</v>
      </c>
      <c r="E258">
        <v>914504</v>
      </c>
      <c r="F258" t="s">
        <v>7</v>
      </c>
    </row>
    <row r="259" spans="1:6" x14ac:dyDescent="0.35">
      <c r="A259">
        <v>1500</v>
      </c>
      <c r="B259" s="1">
        <v>45042</v>
      </c>
      <c r="C259">
        <v>378.74</v>
      </c>
      <c r="D259" t="s">
        <v>13</v>
      </c>
      <c r="E259">
        <v>286209</v>
      </c>
      <c r="F259" t="s">
        <v>7</v>
      </c>
    </row>
    <row r="260" spans="1:6" x14ac:dyDescent="0.35">
      <c r="A260">
        <v>4817</v>
      </c>
      <c r="B260" s="1">
        <v>45043</v>
      </c>
      <c r="C260">
        <v>812.96</v>
      </c>
      <c r="D260" t="s">
        <v>8</v>
      </c>
      <c r="E260">
        <v>698199</v>
      </c>
      <c r="F260" t="s">
        <v>7</v>
      </c>
    </row>
    <row r="261" spans="1:6" x14ac:dyDescent="0.35">
      <c r="A261">
        <v>2752</v>
      </c>
      <c r="B261" s="1">
        <v>45043</v>
      </c>
      <c r="C261">
        <v>614.74</v>
      </c>
      <c r="D261" t="s">
        <v>12</v>
      </c>
      <c r="E261">
        <v>226611</v>
      </c>
      <c r="F261" t="s">
        <v>7</v>
      </c>
    </row>
    <row r="262" spans="1:6" x14ac:dyDescent="0.35">
      <c r="A262">
        <v>5915</v>
      </c>
      <c r="B262" s="1">
        <v>45043</v>
      </c>
      <c r="C262">
        <v>566.52</v>
      </c>
      <c r="D262" t="s">
        <v>8</v>
      </c>
      <c r="E262">
        <v>517754</v>
      </c>
      <c r="F262" t="s">
        <v>10</v>
      </c>
    </row>
    <row r="263" spans="1:6" x14ac:dyDescent="0.35">
      <c r="A263">
        <v>6742</v>
      </c>
      <c r="B263" s="1">
        <v>45043</v>
      </c>
      <c r="C263">
        <v>789.15</v>
      </c>
      <c r="D263" t="s">
        <v>8</v>
      </c>
      <c r="E263">
        <v>150486</v>
      </c>
      <c r="F263" t="s">
        <v>7</v>
      </c>
    </row>
    <row r="264" spans="1:6" x14ac:dyDescent="0.35">
      <c r="A264">
        <v>6221</v>
      </c>
      <c r="B264" s="1">
        <v>45043</v>
      </c>
      <c r="C264">
        <v>952.15</v>
      </c>
      <c r="D264" t="s">
        <v>8</v>
      </c>
      <c r="E264">
        <v>458411</v>
      </c>
      <c r="F264" t="s">
        <v>9</v>
      </c>
    </row>
    <row r="265" spans="1:6" x14ac:dyDescent="0.35">
      <c r="A265">
        <v>1731</v>
      </c>
      <c r="B265" s="1">
        <v>45043</v>
      </c>
      <c r="C265">
        <v>445.34</v>
      </c>
      <c r="D265" t="s">
        <v>6</v>
      </c>
      <c r="E265">
        <v>337232</v>
      </c>
      <c r="F265" t="s">
        <v>11</v>
      </c>
    </row>
    <row r="266" spans="1:6" x14ac:dyDescent="0.35">
      <c r="A266">
        <v>3695</v>
      </c>
      <c r="B266" s="1">
        <v>45043</v>
      </c>
      <c r="C266">
        <v>914.91</v>
      </c>
      <c r="D266" t="s">
        <v>13</v>
      </c>
      <c r="E266">
        <v>945664</v>
      </c>
      <c r="F266" t="s">
        <v>11</v>
      </c>
    </row>
    <row r="267" spans="1:6" x14ac:dyDescent="0.35">
      <c r="A267">
        <v>1228</v>
      </c>
      <c r="B267" s="1">
        <v>45043</v>
      </c>
      <c r="C267">
        <v>541.21</v>
      </c>
      <c r="D267" t="s">
        <v>13</v>
      </c>
      <c r="E267">
        <v>486490</v>
      </c>
      <c r="F267" t="s">
        <v>11</v>
      </c>
    </row>
    <row r="268" spans="1:6" x14ac:dyDescent="0.35">
      <c r="A268">
        <v>9465</v>
      </c>
      <c r="B268" s="1">
        <v>45043</v>
      </c>
      <c r="C268">
        <v>382.57</v>
      </c>
      <c r="D268" t="s">
        <v>12</v>
      </c>
      <c r="E268">
        <v>641455</v>
      </c>
      <c r="F268" t="s">
        <v>7</v>
      </c>
    </row>
    <row r="269" spans="1:6" x14ac:dyDescent="0.35">
      <c r="A269">
        <v>2702</v>
      </c>
      <c r="B269" s="1">
        <v>45043</v>
      </c>
      <c r="C269">
        <v>621.91999999999996</v>
      </c>
      <c r="D269" t="s">
        <v>8</v>
      </c>
      <c r="E269">
        <v>786641</v>
      </c>
      <c r="F269" t="s">
        <v>7</v>
      </c>
    </row>
    <row r="270" spans="1:6" x14ac:dyDescent="0.35">
      <c r="A270">
        <v>9625</v>
      </c>
      <c r="B270" s="1">
        <v>45043</v>
      </c>
      <c r="C270">
        <v>817.06</v>
      </c>
      <c r="D270" t="s">
        <v>6</v>
      </c>
      <c r="E270">
        <v>933551</v>
      </c>
      <c r="F270" t="s">
        <v>7</v>
      </c>
    </row>
    <row r="271" spans="1:6" x14ac:dyDescent="0.35">
      <c r="A271">
        <v>9669</v>
      </c>
      <c r="B271" s="1">
        <v>45043</v>
      </c>
      <c r="C271">
        <v>971.37</v>
      </c>
      <c r="D271" t="s">
        <v>8</v>
      </c>
      <c r="E271">
        <v>813328</v>
      </c>
      <c r="F271" t="s">
        <v>10</v>
      </c>
    </row>
    <row r="272" spans="1:6" x14ac:dyDescent="0.35">
      <c r="A272">
        <v>8368</v>
      </c>
      <c r="B272" s="1">
        <v>45043</v>
      </c>
      <c r="C272">
        <v>355.09</v>
      </c>
      <c r="D272" t="s">
        <v>8</v>
      </c>
      <c r="E272">
        <v>560398</v>
      </c>
      <c r="F272" t="s">
        <v>10</v>
      </c>
    </row>
    <row r="273" spans="1:6" x14ac:dyDescent="0.35">
      <c r="A273">
        <v>6053</v>
      </c>
      <c r="B273" s="1">
        <v>45043</v>
      </c>
      <c r="C273">
        <v>366.05</v>
      </c>
      <c r="D273" t="s">
        <v>13</v>
      </c>
      <c r="E273">
        <v>588640</v>
      </c>
      <c r="F273" t="s">
        <v>10</v>
      </c>
    </row>
    <row r="274" spans="1:6" x14ac:dyDescent="0.35">
      <c r="A274">
        <v>7322</v>
      </c>
      <c r="B274" s="1">
        <v>45043</v>
      </c>
      <c r="C274">
        <v>544.83000000000004</v>
      </c>
      <c r="D274" t="s">
        <v>6</v>
      </c>
      <c r="E274">
        <v>125905</v>
      </c>
      <c r="F274" t="s">
        <v>11</v>
      </c>
    </row>
    <row r="275" spans="1:6" x14ac:dyDescent="0.35">
      <c r="A275">
        <v>4614</v>
      </c>
      <c r="B275" s="1">
        <v>45043</v>
      </c>
      <c r="C275">
        <v>88.42</v>
      </c>
      <c r="D275" t="s">
        <v>12</v>
      </c>
      <c r="E275">
        <v>641704</v>
      </c>
      <c r="F275" t="s">
        <v>11</v>
      </c>
    </row>
    <row r="276" spans="1:6" x14ac:dyDescent="0.35">
      <c r="A276">
        <v>9288</v>
      </c>
      <c r="B276" s="1">
        <v>45043</v>
      </c>
      <c r="C276">
        <v>141.13</v>
      </c>
      <c r="D276" t="s">
        <v>6</v>
      </c>
      <c r="E276">
        <v>172132</v>
      </c>
      <c r="F276" t="s">
        <v>9</v>
      </c>
    </row>
    <row r="277" spans="1:6" x14ac:dyDescent="0.35">
      <c r="A277">
        <v>7753</v>
      </c>
      <c r="B277" s="1">
        <v>45043</v>
      </c>
      <c r="C277">
        <v>164.16</v>
      </c>
      <c r="D277" t="s">
        <v>8</v>
      </c>
      <c r="E277">
        <v>100096</v>
      </c>
      <c r="F277" t="s">
        <v>9</v>
      </c>
    </row>
    <row r="278" spans="1:6" x14ac:dyDescent="0.35">
      <c r="A278">
        <v>5843</v>
      </c>
      <c r="B278" s="1">
        <v>45043</v>
      </c>
      <c r="C278">
        <v>907.84</v>
      </c>
      <c r="D278" t="s">
        <v>13</v>
      </c>
      <c r="E278">
        <v>507135</v>
      </c>
      <c r="F278" t="s">
        <v>10</v>
      </c>
    </row>
    <row r="279" spans="1:6" x14ac:dyDescent="0.35">
      <c r="A279">
        <v>8925</v>
      </c>
      <c r="B279" s="1">
        <v>45043</v>
      </c>
      <c r="C279">
        <v>988.62</v>
      </c>
      <c r="D279" t="s">
        <v>6</v>
      </c>
      <c r="E279">
        <v>911801</v>
      </c>
      <c r="F279" t="s">
        <v>7</v>
      </c>
    </row>
    <row r="280" spans="1:6" x14ac:dyDescent="0.35">
      <c r="A280">
        <v>9849</v>
      </c>
      <c r="B280" s="1">
        <v>45043</v>
      </c>
      <c r="C280">
        <v>663.99</v>
      </c>
      <c r="D280" t="s">
        <v>6</v>
      </c>
      <c r="E280">
        <v>349087</v>
      </c>
      <c r="F280" t="s">
        <v>10</v>
      </c>
    </row>
    <row r="281" spans="1:6" x14ac:dyDescent="0.35">
      <c r="A281">
        <v>1265</v>
      </c>
      <c r="B281" s="1">
        <v>45043</v>
      </c>
      <c r="C281">
        <v>557.78</v>
      </c>
      <c r="D281" t="s">
        <v>13</v>
      </c>
      <c r="E281">
        <v>409531</v>
      </c>
      <c r="F281" t="s">
        <v>9</v>
      </c>
    </row>
    <row r="282" spans="1:6" x14ac:dyDescent="0.35">
      <c r="A282">
        <v>3705</v>
      </c>
      <c r="B282" s="1">
        <v>45043</v>
      </c>
      <c r="C282">
        <v>532.4</v>
      </c>
      <c r="D282" t="s">
        <v>13</v>
      </c>
      <c r="E282">
        <v>322086</v>
      </c>
      <c r="F282" t="s">
        <v>9</v>
      </c>
    </row>
    <row r="283" spans="1:6" x14ac:dyDescent="0.35">
      <c r="A283">
        <v>2419</v>
      </c>
      <c r="B283" s="1">
        <v>45044</v>
      </c>
      <c r="C283">
        <v>882.81</v>
      </c>
      <c r="D283" t="s">
        <v>12</v>
      </c>
      <c r="E283">
        <v>886931</v>
      </c>
      <c r="F283" t="s">
        <v>7</v>
      </c>
    </row>
    <row r="284" spans="1:6" x14ac:dyDescent="0.35">
      <c r="A284">
        <v>9374</v>
      </c>
      <c r="B284" s="1">
        <v>45044</v>
      </c>
      <c r="C284">
        <v>403.9</v>
      </c>
      <c r="D284" t="s">
        <v>12</v>
      </c>
      <c r="E284">
        <v>156778</v>
      </c>
      <c r="F284" t="s">
        <v>7</v>
      </c>
    </row>
    <row r="285" spans="1:6" x14ac:dyDescent="0.35">
      <c r="A285">
        <v>8418</v>
      </c>
      <c r="B285" s="1">
        <v>45044</v>
      </c>
      <c r="C285">
        <v>703.47</v>
      </c>
      <c r="D285" t="s">
        <v>13</v>
      </c>
      <c r="E285">
        <v>296911</v>
      </c>
      <c r="F285" t="s">
        <v>11</v>
      </c>
    </row>
    <row r="286" spans="1:6" x14ac:dyDescent="0.35">
      <c r="A286">
        <v>9105</v>
      </c>
      <c r="B286" s="1">
        <v>45044</v>
      </c>
      <c r="C286">
        <v>329.64</v>
      </c>
      <c r="D286" t="s">
        <v>6</v>
      </c>
      <c r="E286">
        <v>454161</v>
      </c>
      <c r="F286" t="s">
        <v>9</v>
      </c>
    </row>
    <row r="287" spans="1:6" x14ac:dyDescent="0.35">
      <c r="A287">
        <v>8933</v>
      </c>
      <c r="B287" s="1">
        <v>45044</v>
      </c>
      <c r="C287">
        <v>727.34</v>
      </c>
      <c r="D287" t="s">
        <v>6</v>
      </c>
      <c r="E287">
        <v>205409</v>
      </c>
      <c r="F287" t="s">
        <v>9</v>
      </c>
    </row>
    <row r="288" spans="1:6" x14ac:dyDescent="0.35">
      <c r="A288">
        <v>8790</v>
      </c>
      <c r="B288" s="1">
        <v>45044</v>
      </c>
      <c r="C288">
        <v>56.1</v>
      </c>
      <c r="D288" t="s">
        <v>8</v>
      </c>
      <c r="E288">
        <v>817675</v>
      </c>
      <c r="F288" t="s">
        <v>11</v>
      </c>
    </row>
    <row r="289" spans="1:6" x14ac:dyDescent="0.35">
      <c r="A289">
        <v>6574</v>
      </c>
      <c r="B289" s="1">
        <v>45044</v>
      </c>
      <c r="C289">
        <v>163.92</v>
      </c>
      <c r="D289" t="s">
        <v>6</v>
      </c>
      <c r="E289">
        <v>207175</v>
      </c>
      <c r="F289" t="s">
        <v>10</v>
      </c>
    </row>
    <row r="290" spans="1:6" x14ac:dyDescent="0.35">
      <c r="A290">
        <v>5622</v>
      </c>
      <c r="B290" s="1">
        <v>45044</v>
      </c>
      <c r="C290">
        <v>133.79</v>
      </c>
      <c r="D290" t="s">
        <v>13</v>
      </c>
      <c r="E290">
        <v>862427</v>
      </c>
      <c r="F290" t="s">
        <v>10</v>
      </c>
    </row>
    <row r="291" spans="1:6" x14ac:dyDescent="0.35">
      <c r="A291">
        <v>2336</v>
      </c>
      <c r="B291" s="1">
        <v>45044</v>
      </c>
      <c r="C291">
        <v>448.68</v>
      </c>
      <c r="D291" t="s">
        <v>13</v>
      </c>
      <c r="E291">
        <v>609253</v>
      </c>
      <c r="F291" t="s">
        <v>7</v>
      </c>
    </row>
    <row r="292" spans="1:6" x14ac:dyDescent="0.35">
      <c r="A292">
        <v>5059</v>
      </c>
      <c r="B292" s="1">
        <v>45044</v>
      </c>
      <c r="C292">
        <v>648.16999999999996</v>
      </c>
      <c r="D292" t="s">
        <v>12</v>
      </c>
      <c r="E292">
        <v>680278</v>
      </c>
      <c r="F292" t="s">
        <v>11</v>
      </c>
    </row>
    <row r="293" spans="1:6" x14ac:dyDescent="0.35">
      <c r="A293">
        <v>7363</v>
      </c>
      <c r="B293" s="1">
        <v>45044</v>
      </c>
      <c r="C293">
        <v>188.02</v>
      </c>
      <c r="D293" t="s">
        <v>6</v>
      </c>
      <c r="E293">
        <v>726121</v>
      </c>
      <c r="F293" t="s">
        <v>9</v>
      </c>
    </row>
    <row r="294" spans="1:6" x14ac:dyDescent="0.35">
      <c r="A294">
        <v>7785</v>
      </c>
      <c r="B294" s="1">
        <v>45044</v>
      </c>
      <c r="C294">
        <v>223.41</v>
      </c>
      <c r="D294" t="s">
        <v>8</v>
      </c>
      <c r="E294">
        <v>461939</v>
      </c>
      <c r="F294" t="s">
        <v>7</v>
      </c>
    </row>
    <row r="295" spans="1:6" x14ac:dyDescent="0.35">
      <c r="A295">
        <v>2344</v>
      </c>
      <c r="B295" s="1">
        <v>45044</v>
      </c>
      <c r="C295">
        <v>162.68</v>
      </c>
      <c r="D295" t="s">
        <v>12</v>
      </c>
      <c r="E295">
        <v>875584</v>
      </c>
      <c r="F295" t="s">
        <v>7</v>
      </c>
    </row>
    <row r="296" spans="1:6" x14ac:dyDescent="0.35">
      <c r="A296">
        <v>8145</v>
      </c>
      <c r="B296" s="1">
        <v>45044</v>
      </c>
      <c r="C296">
        <v>841.71</v>
      </c>
      <c r="D296" t="s">
        <v>12</v>
      </c>
      <c r="E296">
        <v>812591</v>
      </c>
      <c r="F296" t="s">
        <v>11</v>
      </c>
    </row>
    <row r="297" spans="1:6" x14ac:dyDescent="0.35">
      <c r="A297">
        <v>5933</v>
      </c>
      <c r="B297" s="1">
        <v>45044</v>
      </c>
      <c r="C297">
        <v>498.19</v>
      </c>
      <c r="D297" t="s">
        <v>8</v>
      </c>
      <c r="E297">
        <v>275329</v>
      </c>
      <c r="F297" t="s">
        <v>7</v>
      </c>
    </row>
    <row r="298" spans="1:6" x14ac:dyDescent="0.35">
      <c r="A298">
        <v>4275</v>
      </c>
      <c r="B298" s="1">
        <v>45044</v>
      </c>
      <c r="C298">
        <v>752.68</v>
      </c>
      <c r="D298" t="s">
        <v>12</v>
      </c>
      <c r="E298">
        <v>400538</v>
      </c>
      <c r="F298" t="s">
        <v>11</v>
      </c>
    </row>
    <row r="299" spans="1:6" x14ac:dyDescent="0.35">
      <c r="A299">
        <v>4371</v>
      </c>
      <c r="B299" s="1">
        <v>45044</v>
      </c>
      <c r="C299">
        <v>754.8</v>
      </c>
      <c r="D299" t="s">
        <v>8</v>
      </c>
      <c r="E299">
        <v>705393</v>
      </c>
      <c r="F299" t="s">
        <v>10</v>
      </c>
    </row>
    <row r="300" spans="1:6" x14ac:dyDescent="0.35">
      <c r="A300">
        <v>1046</v>
      </c>
      <c r="B300" s="1">
        <v>45044</v>
      </c>
      <c r="C300">
        <v>859.82</v>
      </c>
      <c r="D300" t="s">
        <v>12</v>
      </c>
      <c r="E300">
        <v>236306</v>
      </c>
      <c r="F300" t="s">
        <v>11</v>
      </c>
    </row>
    <row r="301" spans="1:6" x14ac:dyDescent="0.35">
      <c r="A301">
        <v>7054</v>
      </c>
      <c r="B301" s="1">
        <v>45045</v>
      </c>
      <c r="C301">
        <v>166.17</v>
      </c>
      <c r="D301" t="s">
        <v>6</v>
      </c>
      <c r="E301">
        <v>741390</v>
      </c>
      <c r="F301" t="s">
        <v>10</v>
      </c>
    </row>
    <row r="302" spans="1:6" x14ac:dyDescent="0.35">
      <c r="A302">
        <v>7921</v>
      </c>
      <c r="B302" s="1">
        <v>45045</v>
      </c>
      <c r="C302">
        <v>617</v>
      </c>
      <c r="D302" t="s">
        <v>8</v>
      </c>
      <c r="E302">
        <v>823468</v>
      </c>
      <c r="F302" t="s">
        <v>9</v>
      </c>
    </row>
    <row r="303" spans="1:6" x14ac:dyDescent="0.35">
      <c r="A303">
        <v>6634</v>
      </c>
      <c r="B303" s="1">
        <v>45045</v>
      </c>
      <c r="C303">
        <v>474.51</v>
      </c>
      <c r="D303" t="s">
        <v>8</v>
      </c>
      <c r="E303">
        <v>821179</v>
      </c>
      <c r="F303" t="s">
        <v>7</v>
      </c>
    </row>
    <row r="304" spans="1:6" x14ac:dyDescent="0.35">
      <c r="A304">
        <v>4131</v>
      </c>
      <c r="B304" s="1">
        <v>45045</v>
      </c>
      <c r="C304">
        <v>363.4</v>
      </c>
      <c r="D304" t="s">
        <v>8</v>
      </c>
      <c r="E304">
        <v>787584</v>
      </c>
      <c r="F304" t="s">
        <v>11</v>
      </c>
    </row>
    <row r="305" spans="1:6" x14ac:dyDescent="0.35">
      <c r="A305">
        <v>4879</v>
      </c>
      <c r="B305" s="1">
        <v>45045</v>
      </c>
      <c r="C305">
        <v>268.38</v>
      </c>
      <c r="D305" t="s">
        <v>6</v>
      </c>
      <c r="E305">
        <v>939717</v>
      </c>
      <c r="F305" t="s">
        <v>7</v>
      </c>
    </row>
    <row r="306" spans="1:6" x14ac:dyDescent="0.35">
      <c r="A306">
        <v>2389</v>
      </c>
      <c r="B306" s="1">
        <v>45045</v>
      </c>
      <c r="C306">
        <v>520.29999999999995</v>
      </c>
      <c r="D306" t="s">
        <v>6</v>
      </c>
      <c r="E306">
        <v>197923</v>
      </c>
      <c r="F306" t="s">
        <v>9</v>
      </c>
    </row>
    <row r="307" spans="1:6" x14ac:dyDescent="0.35">
      <c r="A307">
        <v>2417</v>
      </c>
      <c r="B307" s="1">
        <v>45045</v>
      </c>
      <c r="C307">
        <v>767.62</v>
      </c>
      <c r="D307" t="s">
        <v>13</v>
      </c>
      <c r="E307">
        <v>499941</v>
      </c>
      <c r="F307" t="s">
        <v>7</v>
      </c>
    </row>
    <row r="308" spans="1:6" x14ac:dyDescent="0.35">
      <c r="A308">
        <v>9941</v>
      </c>
      <c r="B308" s="1">
        <v>45045</v>
      </c>
      <c r="C308">
        <v>960.53</v>
      </c>
      <c r="D308" t="s">
        <v>12</v>
      </c>
      <c r="E308">
        <v>412534</v>
      </c>
      <c r="F308" t="s">
        <v>11</v>
      </c>
    </row>
    <row r="309" spans="1:6" x14ac:dyDescent="0.35">
      <c r="A309">
        <v>3399</v>
      </c>
      <c r="B309" s="1">
        <v>45045</v>
      </c>
      <c r="C309">
        <v>51.65</v>
      </c>
      <c r="D309" t="s">
        <v>8</v>
      </c>
      <c r="E309">
        <v>463188</v>
      </c>
      <c r="F309" t="s">
        <v>7</v>
      </c>
    </row>
    <row r="310" spans="1:6" x14ac:dyDescent="0.35">
      <c r="A310">
        <v>8362</v>
      </c>
      <c r="B310" s="1">
        <v>45045</v>
      </c>
      <c r="C310">
        <v>821.22</v>
      </c>
      <c r="D310" t="s">
        <v>6</v>
      </c>
      <c r="E310">
        <v>576136</v>
      </c>
      <c r="F310" t="s">
        <v>10</v>
      </c>
    </row>
    <row r="311" spans="1:6" x14ac:dyDescent="0.35">
      <c r="A311">
        <v>1842</v>
      </c>
      <c r="B311" s="1">
        <v>45045</v>
      </c>
      <c r="C311">
        <v>604.41</v>
      </c>
      <c r="D311" t="s">
        <v>6</v>
      </c>
      <c r="E311">
        <v>208633</v>
      </c>
      <c r="F311" t="s">
        <v>9</v>
      </c>
    </row>
    <row r="312" spans="1:6" x14ac:dyDescent="0.35">
      <c r="A312">
        <v>1519</v>
      </c>
      <c r="B312" s="1">
        <v>45045</v>
      </c>
      <c r="C312">
        <v>414.78</v>
      </c>
      <c r="D312" t="s">
        <v>12</v>
      </c>
      <c r="E312">
        <v>903028</v>
      </c>
      <c r="F312" t="s">
        <v>7</v>
      </c>
    </row>
    <row r="313" spans="1:6" x14ac:dyDescent="0.35">
      <c r="A313">
        <v>2816</v>
      </c>
      <c r="B313" s="1">
        <v>45045</v>
      </c>
      <c r="C313">
        <v>681.44</v>
      </c>
      <c r="D313" t="s">
        <v>13</v>
      </c>
      <c r="E313">
        <v>652530</v>
      </c>
      <c r="F313" t="s">
        <v>11</v>
      </c>
    </row>
    <row r="314" spans="1:6" x14ac:dyDescent="0.35">
      <c r="A314">
        <v>4792</v>
      </c>
      <c r="B314" s="1">
        <v>45045</v>
      </c>
      <c r="C314">
        <v>709.89</v>
      </c>
      <c r="D314" t="s">
        <v>13</v>
      </c>
      <c r="E314">
        <v>174637</v>
      </c>
      <c r="F314" t="s">
        <v>9</v>
      </c>
    </row>
    <row r="315" spans="1:6" x14ac:dyDescent="0.35">
      <c r="A315">
        <v>7418</v>
      </c>
      <c r="B315" s="1">
        <v>45045</v>
      </c>
      <c r="C315">
        <v>649.71</v>
      </c>
      <c r="D315" t="s">
        <v>12</v>
      </c>
      <c r="E315">
        <v>618927</v>
      </c>
      <c r="F315" t="s">
        <v>7</v>
      </c>
    </row>
    <row r="316" spans="1:6" x14ac:dyDescent="0.35">
      <c r="A316">
        <v>6617</v>
      </c>
      <c r="B316" s="1">
        <v>45045</v>
      </c>
      <c r="C316">
        <v>458.32</v>
      </c>
      <c r="D316" t="s">
        <v>12</v>
      </c>
      <c r="E316">
        <v>244892</v>
      </c>
      <c r="F316" t="s">
        <v>7</v>
      </c>
    </row>
    <row r="317" spans="1:6" x14ac:dyDescent="0.35">
      <c r="A317">
        <v>1984</v>
      </c>
      <c r="B317" s="1">
        <v>45045</v>
      </c>
      <c r="C317">
        <v>208.69</v>
      </c>
      <c r="D317" t="s">
        <v>6</v>
      </c>
      <c r="E317">
        <v>155663</v>
      </c>
      <c r="F317" t="s">
        <v>7</v>
      </c>
    </row>
    <row r="318" spans="1:6" x14ac:dyDescent="0.35">
      <c r="A318">
        <v>9747</v>
      </c>
      <c r="B318" s="1">
        <v>45045</v>
      </c>
      <c r="C318">
        <v>878.7</v>
      </c>
      <c r="D318" t="s">
        <v>13</v>
      </c>
      <c r="E318">
        <v>947568</v>
      </c>
      <c r="F318" t="s">
        <v>10</v>
      </c>
    </row>
    <row r="319" spans="1:6" x14ac:dyDescent="0.35">
      <c r="A319">
        <v>1919</v>
      </c>
      <c r="B319" s="1">
        <v>45045</v>
      </c>
      <c r="C319">
        <v>364.88</v>
      </c>
      <c r="D319" t="s">
        <v>13</v>
      </c>
      <c r="E319">
        <v>252640</v>
      </c>
      <c r="F319" t="s">
        <v>9</v>
      </c>
    </row>
    <row r="320" spans="1:6" x14ac:dyDescent="0.35">
      <c r="A320">
        <v>9022</v>
      </c>
      <c r="B320" s="1">
        <v>45045</v>
      </c>
      <c r="C320">
        <v>148.88999999999999</v>
      </c>
      <c r="D320" t="s">
        <v>6</v>
      </c>
      <c r="E320">
        <v>982885</v>
      </c>
      <c r="F320" t="s">
        <v>7</v>
      </c>
    </row>
    <row r="321" spans="1:6" x14ac:dyDescent="0.35">
      <c r="A321">
        <v>5067</v>
      </c>
      <c r="B321" s="1">
        <v>45045</v>
      </c>
      <c r="C321">
        <v>102.08</v>
      </c>
      <c r="D321" t="s">
        <v>6</v>
      </c>
      <c r="E321">
        <v>179721</v>
      </c>
      <c r="F321" t="s">
        <v>9</v>
      </c>
    </row>
    <row r="322" spans="1:6" x14ac:dyDescent="0.35">
      <c r="A322">
        <v>1645</v>
      </c>
      <c r="B322" s="1">
        <v>45046</v>
      </c>
      <c r="C322">
        <v>790.72</v>
      </c>
      <c r="D322" t="s">
        <v>8</v>
      </c>
      <c r="E322">
        <v>707727</v>
      </c>
      <c r="F322" t="s">
        <v>11</v>
      </c>
    </row>
    <row r="323" spans="1:6" x14ac:dyDescent="0.35">
      <c r="A323">
        <v>4700</v>
      </c>
      <c r="B323" s="1">
        <v>45046</v>
      </c>
      <c r="C323">
        <v>687.2</v>
      </c>
      <c r="D323" t="s">
        <v>8</v>
      </c>
      <c r="E323">
        <v>785491</v>
      </c>
      <c r="F323" t="s">
        <v>10</v>
      </c>
    </row>
    <row r="324" spans="1:6" x14ac:dyDescent="0.35">
      <c r="A324">
        <v>3219</v>
      </c>
      <c r="B324" s="1">
        <v>45046</v>
      </c>
      <c r="C324">
        <v>16.7</v>
      </c>
      <c r="D324" t="s">
        <v>13</v>
      </c>
      <c r="E324">
        <v>448354</v>
      </c>
      <c r="F324" t="s">
        <v>7</v>
      </c>
    </row>
    <row r="325" spans="1:6" x14ac:dyDescent="0.35">
      <c r="A325">
        <v>1749</v>
      </c>
      <c r="B325" s="1">
        <v>45046</v>
      </c>
      <c r="C325">
        <v>948.98</v>
      </c>
      <c r="D325" t="s">
        <v>13</v>
      </c>
      <c r="E325">
        <v>863187</v>
      </c>
      <c r="F325" t="s">
        <v>11</v>
      </c>
    </row>
    <row r="326" spans="1:6" x14ac:dyDescent="0.35">
      <c r="A326">
        <v>1886</v>
      </c>
      <c r="B326" s="1">
        <v>45046</v>
      </c>
      <c r="C326">
        <v>529.14</v>
      </c>
      <c r="D326" t="s">
        <v>6</v>
      </c>
      <c r="E326">
        <v>666157</v>
      </c>
      <c r="F326" t="s">
        <v>9</v>
      </c>
    </row>
    <row r="327" spans="1:6" x14ac:dyDescent="0.35">
      <c r="A327">
        <v>7199</v>
      </c>
      <c r="B327" s="1">
        <v>45046</v>
      </c>
      <c r="C327">
        <v>736.66</v>
      </c>
      <c r="D327" t="s">
        <v>6</v>
      </c>
      <c r="E327">
        <v>233534</v>
      </c>
      <c r="F327" t="s">
        <v>9</v>
      </c>
    </row>
    <row r="328" spans="1:6" x14ac:dyDescent="0.35">
      <c r="A328">
        <v>8625</v>
      </c>
      <c r="B328" s="1">
        <v>45046</v>
      </c>
      <c r="C328">
        <v>168.12</v>
      </c>
      <c r="D328" t="s">
        <v>6</v>
      </c>
      <c r="E328">
        <v>823821</v>
      </c>
      <c r="F328" t="s">
        <v>10</v>
      </c>
    </row>
    <row r="329" spans="1:6" x14ac:dyDescent="0.35">
      <c r="A329">
        <v>6707</v>
      </c>
      <c r="B329" s="1">
        <v>45046</v>
      </c>
      <c r="C329">
        <v>349.64</v>
      </c>
      <c r="D329" t="s">
        <v>12</v>
      </c>
      <c r="E329">
        <v>646428</v>
      </c>
      <c r="F329" t="s">
        <v>7</v>
      </c>
    </row>
    <row r="330" spans="1:6" x14ac:dyDescent="0.35">
      <c r="A330">
        <v>2075</v>
      </c>
      <c r="B330" s="1">
        <v>45046</v>
      </c>
      <c r="C330">
        <v>712.47</v>
      </c>
      <c r="D330" t="s">
        <v>13</v>
      </c>
      <c r="E330">
        <v>242239</v>
      </c>
      <c r="F330" t="s">
        <v>10</v>
      </c>
    </row>
    <row r="331" spans="1:6" x14ac:dyDescent="0.35">
      <c r="A331">
        <v>5438</v>
      </c>
      <c r="B331" s="1">
        <v>45046</v>
      </c>
      <c r="C331">
        <v>258.89</v>
      </c>
      <c r="D331" t="s">
        <v>8</v>
      </c>
      <c r="E331">
        <v>856321</v>
      </c>
      <c r="F331" t="s">
        <v>9</v>
      </c>
    </row>
    <row r="332" spans="1:6" x14ac:dyDescent="0.35">
      <c r="A332">
        <v>4986</v>
      </c>
      <c r="B332" s="1">
        <v>45046</v>
      </c>
      <c r="C332">
        <v>667.32</v>
      </c>
      <c r="D332" t="s">
        <v>6</v>
      </c>
      <c r="E332">
        <v>596249</v>
      </c>
      <c r="F332" t="s">
        <v>11</v>
      </c>
    </row>
    <row r="333" spans="1:6" x14ac:dyDescent="0.35">
      <c r="A333">
        <v>1372</v>
      </c>
      <c r="B333" s="1">
        <v>45046</v>
      </c>
      <c r="C333">
        <v>468.37</v>
      </c>
      <c r="D333" t="s">
        <v>13</v>
      </c>
      <c r="E333">
        <v>657772</v>
      </c>
      <c r="F333" t="s">
        <v>7</v>
      </c>
    </row>
    <row r="334" spans="1:6" x14ac:dyDescent="0.35">
      <c r="A334">
        <v>7885</v>
      </c>
      <c r="B334" s="1">
        <v>45046</v>
      </c>
      <c r="C334">
        <v>787.87</v>
      </c>
      <c r="D334" t="s">
        <v>13</v>
      </c>
      <c r="E334">
        <v>489438</v>
      </c>
      <c r="F334" t="s">
        <v>7</v>
      </c>
    </row>
    <row r="335" spans="1:6" x14ac:dyDescent="0.35">
      <c r="A335">
        <v>7775</v>
      </c>
      <c r="B335" s="1">
        <v>45046</v>
      </c>
      <c r="C335">
        <v>282.39999999999998</v>
      </c>
      <c r="D335" t="s">
        <v>12</v>
      </c>
      <c r="E335">
        <v>756401</v>
      </c>
      <c r="F335" t="s">
        <v>7</v>
      </c>
    </row>
    <row r="336" spans="1:6" x14ac:dyDescent="0.35">
      <c r="A336">
        <v>8803</v>
      </c>
      <c r="B336" s="1">
        <v>45046</v>
      </c>
      <c r="C336">
        <v>88.17</v>
      </c>
      <c r="D336" t="s">
        <v>8</v>
      </c>
      <c r="E336">
        <v>626491</v>
      </c>
      <c r="F336" t="s">
        <v>9</v>
      </c>
    </row>
    <row r="337" spans="1:6" x14ac:dyDescent="0.35">
      <c r="A337">
        <v>9393</v>
      </c>
      <c r="B337" s="1">
        <v>45046</v>
      </c>
      <c r="C337">
        <v>844.64</v>
      </c>
      <c r="D337" t="s">
        <v>6</v>
      </c>
      <c r="E337">
        <v>846454</v>
      </c>
      <c r="F337" t="s">
        <v>9</v>
      </c>
    </row>
    <row r="338" spans="1:6" x14ac:dyDescent="0.35">
      <c r="A338">
        <v>8816</v>
      </c>
      <c r="B338" s="1">
        <v>45046</v>
      </c>
      <c r="C338">
        <v>19.04</v>
      </c>
      <c r="D338" t="s">
        <v>13</v>
      </c>
      <c r="E338">
        <v>936726</v>
      </c>
      <c r="F338" t="s">
        <v>11</v>
      </c>
    </row>
    <row r="339" spans="1:6" x14ac:dyDescent="0.35">
      <c r="A339">
        <v>9680</v>
      </c>
      <c r="B339" s="1">
        <v>45046</v>
      </c>
      <c r="C339">
        <v>418.98</v>
      </c>
      <c r="D339" t="s">
        <v>12</v>
      </c>
      <c r="E339">
        <v>244037</v>
      </c>
      <c r="F339" t="s">
        <v>9</v>
      </c>
    </row>
    <row r="340" spans="1:6" x14ac:dyDescent="0.35">
      <c r="A340">
        <v>4893</v>
      </c>
      <c r="B340" s="1">
        <v>45046</v>
      </c>
      <c r="C340">
        <v>130.63</v>
      </c>
      <c r="D340" t="s">
        <v>12</v>
      </c>
      <c r="E340">
        <v>540218</v>
      </c>
      <c r="F340" t="s">
        <v>7</v>
      </c>
    </row>
    <row r="341" spans="1:6" x14ac:dyDescent="0.35">
      <c r="A341">
        <v>2077</v>
      </c>
      <c r="B341" s="1">
        <v>45046</v>
      </c>
      <c r="C341">
        <v>404.18</v>
      </c>
      <c r="D341" t="s">
        <v>13</v>
      </c>
      <c r="E341">
        <v>651231</v>
      </c>
      <c r="F341" t="s">
        <v>7</v>
      </c>
    </row>
    <row r="342" spans="1:6" x14ac:dyDescent="0.35">
      <c r="A342">
        <v>1901</v>
      </c>
      <c r="B342" s="1">
        <v>45046</v>
      </c>
      <c r="C342">
        <v>669.42</v>
      </c>
      <c r="D342" t="s">
        <v>12</v>
      </c>
      <c r="E342">
        <v>225245</v>
      </c>
      <c r="F342" t="s">
        <v>10</v>
      </c>
    </row>
    <row r="343" spans="1:6" x14ac:dyDescent="0.35">
      <c r="A343">
        <v>8807</v>
      </c>
      <c r="B343" s="1">
        <v>45047</v>
      </c>
      <c r="C343">
        <v>360</v>
      </c>
      <c r="D343" t="s">
        <v>6</v>
      </c>
      <c r="E343">
        <v>291663</v>
      </c>
      <c r="F343" t="s">
        <v>9</v>
      </c>
    </row>
    <row r="344" spans="1:6" x14ac:dyDescent="0.35">
      <c r="A344">
        <v>5903</v>
      </c>
      <c r="B344" s="1">
        <v>45047</v>
      </c>
      <c r="C344">
        <v>374.88</v>
      </c>
      <c r="D344" t="s">
        <v>13</v>
      </c>
      <c r="E344">
        <v>960109</v>
      </c>
      <c r="F344" t="s">
        <v>10</v>
      </c>
    </row>
    <row r="345" spans="1:6" x14ac:dyDescent="0.35">
      <c r="A345">
        <v>5742</v>
      </c>
      <c r="B345" s="1">
        <v>45047</v>
      </c>
      <c r="C345">
        <v>128.78</v>
      </c>
      <c r="D345" t="s">
        <v>13</v>
      </c>
      <c r="E345">
        <v>883301</v>
      </c>
      <c r="F345" t="s">
        <v>7</v>
      </c>
    </row>
    <row r="346" spans="1:6" x14ac:dyDescent="0.35">
      <c r="A346">
        <v>3695</v>
      </c>
      <c r="B346" s="1">
        <v>45047</v>
      </c>
      <c r="C346">
        <v>855.94</v>
      </c>
      <c r="D346" t="s">
        <v>13</v>
      </c>
      <c r="E346">
        <v>221886</v>
      </c>
      <c r="F346" t="s">
        <v>9</v>
      </c>
    </row>
    <row r="347" spans="1:6" x14ac:dyDescent="0.35">
      <c r="A347">
        <v>1341</v>
      </c>
      <c r="B347" s="1">
        <v>45047</v>
      </c>
      <c r="C347">
        <v>180.15</v>
      </c>
      <c r="D347" t="s">
        <v>13</v>
      </c>
      <c r="E347">
        <v>972442</v>
      </c>
      <c r="F347" t="s">
        <v>11</v>
      </c>
    </row>
    <row r="348" spans="1:6" x14ac:dyDescent="0.35">
      <c r="A348">
        <v>8822</v>
      </c>
      <c r="B348" s="1">
        <v>45047</v>
      </c>
      <c r="C348">
        <v>936.47</v>
      </c>
      <c r="D348" t="s">
        <v>8</v>
      </c>
      <c r="E348">
        <v>373453</v>
      </c>
      <c r="F348" t="s">
        <v>7</v>
      </c>
    </row>
    <row r="349" spans="1:6" x14ac:dyDescent="0.35">
      <c r="A349">
        <v>9442</v>
      </c>
      <c r="B349" s="1">
        <v>45047</v>
      </c>
      <c r="C349">
        <v>95.87</v>
      </c>
      <c r="D349" t="s">
        <v>8</v>
      </c>
      <c r="E349">
        <v>293757</v>
      </c>
      <c r="F349" t="s">
        <v>9</v>
      </c>
    </row>
    <row r="350" spans="1:6" x14ac:dyDescent="0.35">
      <c r="A350">
        <v>1715</v>
      </c>
      <c r="B350" s="1">
        <v>45047</v>
      </c>
      <c r="C350">
        <v>747.26</v>
      </c>
      <c r="D350" t="s">
        <v>13</v>
      </c>
      <c r="E350">
        <v>504832</v>
      </c>
      <c r="F350" t="s">
        <v>9</v>
      </c>
    </row>
    <row r="351" spans="1:6" x14ac:dyDescent="0.35">
      <c r="A351">
        <v>5706</v>
      </c>
      <c r="B351" s="1">
        <v>45047</v>
      </c>
      <c r="C351">
        <v>292.56</v>
      </c>
      <c r="D351" t="s">
        <v>8</v>
      </c>
      <c r="E351">
        <v>906066</v>
      </c>
      <c r="F351" t="s">
        <v>10</v>
      </c>
    </row>
    <row r="352" spans="1:6" x14ac:dyDescent="0.35">
      <c r="A352">
        <v>2557</v>
      </c>
      <c r="B352" s="1">
        <v>45047</v>
      </c>
      <c r="C352">
        <v>432.5</v>
      </c>
      <c r="D352" t="s">
        <v>6</v>
      </c>
      <c r="E352">
        <v>492483</v>
      </c>
      <c r="F352" t="s">
        <v>9</v>
      </c>
    </row>
    <row r="353" spans="1:6" x14ac:dyDescent="0.35">
      <c r="A353">
        <v>8324</v>
      </c>
      <c r="B353" s="1">
        <v>45047</v>
      </c>
      <c r="C353">
        <v>127.52</v>
      </c>
      <c r="D353" t="s">
        <v>13</v>
      </c>
      <c r="E353">
        <v>881439</v>
      </c>
      <c r="F353" t="s">
        <v>10</v>
      </c>
    </row>
    <row r="354" spans="1:6" x14ac:dyDescent="0.35">
      <c r="A354">
        <v>4154</v>
      </c>
      <c r="B354" s="1">
        <v>45047</v>
      </c>
      <c r="C354">
        <v>518.76</v>
      </c>
      <c r="D354" t="s">
        <v>8</v>
      </c>
      <c r="E354">
        <v>275526</v>
      </c>
      <c r="F354" t="s">
        <v>10</v>
      </c>
    </row>
    <row r="355" spans="1:6" x14ac:dyDescent="0.35">
      <c r="A355">
        <v>4812</v>
      </c>
      <c r="B355" s="1">
        <v>45047</v>
      </c>
      <c r="C355">
        <v>981.86</v>
      </c>
      <c r="D355" t="s">
        <v>6</v>
      </c>
      <c r="E355">
        <v>944654</v>
      </c>
      <c r="F355" t="s">
        <v>7</v>
      </c>
    </row>
    <row r="356" spans="1:6" x14ac:dyDescent="0.35">
      <c r="A356">
        <v>6502</v>
      </c>
      <c r="B356" s="1">
        <v>45047</v>
      </c>
      <c r="C356">
        <v>894.1</v>
      </c>
      <c r="D356" t="s">
        <v>8</v>
      </c>
      <c r="E356">
        <v>245095</v>
      </c>
      <c r="F356" t="s">
        <v>9</v>
      </c>
    </row>
    <row r="357" spans="1:6" x14ac:dyDescent="0.35">
      <c r="A357">
        <v>8094</v>
      </c>
      <c r="B357" s="1">
        <v>45047</v>
      </c>
      <c r="C357">
        <v>26.72</v>
      </c>
      <c r="D357" t="s">
        <v>8</v>
      </c>
      <c r="E357">
        <v>660814</v>
      </c>
      <c r="F357" t="s">
        <v>10</v>
      </c>
    </row>
    <row r="358" spans="1:6" x14ac:dyDescent="0.35">
      <c r="A358">
        <v>3194</v>
      </c>
      <c r="B358" s="1">
        <v>45047</v>
      </c>
      <c r="C358">
        <v>126.68</v>
      </c>
      <c r="D358" t="s">
        <v>6</v>
      </c>
      <c r="E358">
        <v>222629</v>
      </c>
      <c r="F358" t="s">
        <v>9</v>
      </c>
    </row>
    <row r="359" spans="1:6" x14ac:dyDescent="0.35">
      <c r="A359">
        <v>9788</v>
      </c>
      <c r="B359" s="1">
        <v>45047</v>
      </c>
      <c r="C359">
        <v>396.82</v>
      </c>
      <c r="D359" t="s">
        <v>8</v>
      </c>
      <c r="E359">
        <v>425236</v>
      </c>
      <c r="F359" t="s">
        <v>7</v>
      </c>
    </row>
    <row r="360" spans="1:6" x14ac:dyDescent="0.35">
      <c r="A360">
        <v>7521</v>
      </c>
      <c r="B360" s="1">
        <v>45047</v>
      </c>
      <c r="C360">
        <v>653.07000000000005</v>
      </c>
      <c r="D360" t="s">
        <v>12</v>
      </c>
      <c r="E360">
        <v>218959</v>
      </c>
      <c r="F360" t="s">
        <v>10</v>
      </c>
    </row>
    <row r="361" spans="1:6" x14ac:dyDescent="0.35">
      <c r="A361">
        <v>6345</v>
      </c>
      <c r="B361" s="1">
        <v>45047</v>
      </c>
      <c r="C361">
        <v>458.23</v>
      </c>
      <c r="D361" t="s">
        <v>12</v>
      </c>
      <c r="E361">
        <v>178315</v>
      </c>
      <c r="F361" t="s">
        <v>9</v>
      </c>
    </row>
    <row r="362" spans="1:6" x14ac:dyDescent="0.35">
      <c r="A362">
        <v>8225</v>
      </c>
      <c r="B362" s="1">
        <v>45047</v>
      </c>
      <c r="C362">
        <v>424.59</v>
      </c>
      <c r="D362" t="s">
        <v>13</v>
      </c>
      <c r="E362">
        <v>824042</v>
      </c>
      <c r="F362" t="s">
        <v>9</v>
      </c>
    </row>
    <row r="363" spans="1:6" x14ac:dyDescent="0.35">
      <c r="A363">
        <v>4912</v>
      </c>
      <c r="B363" s="1">
        <v>45047</v>
      </c>
      <c r="C363">
        <v>723.79</v>
      </c>
      <c r="D363" t="s">
        <v>13</v>
      </c>
      <c r="E363">
        <v>299092</v>
      </c>
      <c r="F363" t="s">
        <v>7</v>
      </c>
    </row>
    <row r="364" spans="1:6" x14ac:dyDescent="0.35">
      <c r="A364">
        <v>3463</v>
      </c>
      <c r="B364" s="1">
        <v>45048</v>
      </c>
      <c r="C364">
        <v>90.69</v>
      </c>
      <c r="D364" t="s">
        <v>12</v>
      </c>
      <c r="E364">
        <v>466813</v>
      </c>
      <c r="F364" t="s">
        <v>11</v>
      </c>
    </row>
    <row r="365" spans="1:6" x14ac:dyDescent="0.35">
      <c r="A365">
        <v>2655</v>
      </c>
      <c r="B365" s="1">
        <v>45048</v>
      </c>
      <c r="C365">
        <v>308.75</v>
      </c>
      <c r="D365" t="s">
        <v>12</v>
      </c>
      <c r="E365">
        <v>265154</v>
      </c>
      <c r="F365" t="s">
        <v>7</v>
      </c>
    </row>
    <row r="366" spans="1:6" x14ac:dyDescent="0.35">
      <c r="A366">
        <v>7798</v>
      </c>
      <c r="B366" s="1">
        <v>45048</v>
      </c>
      <c r="C366">
        <v>934.91</v>
      </c>
      <c r="D366" t="s">
        <v>6</v>
      </c>
      <c r="E366">
        <v>960408</v>
      </c>
      <c r="F366" t="s">
        <v>10</v>
      </c>
    </row>
    <row r="367" spans="1:6" x14ac:dyDescent="0.35">
      <c r="A367">
        <v>1225</v>
      </c>
      <c r="B367" s="1">
        <v>45048</v>
      </c>
      <c r="C367">
        <v>696.86</v>
      </c>
      <c r="D367" t="s">
        <v>8</v>
      </c>
      <c r="E367">
        <v>419939</v>
      </c>
      <c r="F367" t="s">
        <v>7</v>
      </c>
    </row>
    <row r="368" spans="1:6" x14ac:dyDescent="0.35">
      <c r="A368">
        <v>9785</v>
      </c>
      <c r="B368" s="1">
        <v>45048</v>
      </c>
      <c r="C368">
        <v>939.84</v>
      </c>
      <c r="D368" t="s">
        <v>8</v>
      </c>
      <c r="E368">
        <v>373903</v>
      </c>
      <c r="F368" t="s">
        <v>9</v>
      </c>
    </row>
    <row r="369" spans="1:6" x14ac:dyDescent="0.35">
      <c r="A369">
        <v>5342</v>
      </c>
      <c r="B369" s="1">
        <v>45048</v>
      </c>
      <c r="C369">
        <v>627.03</v>
      </c>
      <c r="D369" t="s">
        <v>13</v>
      </c>
      <c r="E369">
        <v>781403</v>
      </c>
      <c r="F369" t="s">
        <v>10</v>
      </c>
    </row>
    <row r="370" spans="1:6" x14ac:dyDescent="0.35">
      <c r="A370">
        <v>7678</v>
      </c>
      <c r="B370" s="1">
        <v>45048</v>
      </c>
      <c r="C370">
        <v>547.19000000000005</v>
      </c>
      <c r="D370" t="s">
        <v>13</v>
      </c>
      <c r="E370">
        <v>165290</v>
      </c>
      <c r="F370" t="s">
        <v>9</v>
      </c>
    </row>
    <row r="371" spans="1:6" x14ac:dyDescent="0.35">
      <c r="A371">
        <v>3793</v>
      </c>
      <c r="B371" s="1">
        <v>45048</v>
      </c>
      <c r="C371">
        <v>363.95</v>
      </c>
      <c r="D371" t="s">
        <v>13</v>
      </c>
      <c r="E371">
        <v>752011</v>
      </c>
      <c r="F371" t="s">
        <v>11</v>
      </c>
    </row>
    <row r="372" spans="1:6" x14ac:dyDescent="0.35">
      <c r="A372">
        <v>7334</v>
      </c>
      <c r="B372" s="1">
        <v>45048</v>
      </c>
      <c r="C372">
        <v>973.99</v>
      </c>
      <c r="D372" t="s">
        <v>13</v>
      </c>
      <c r="E372">
        <v>825686</v>
      </c>
      <c r="F372" t="s">
        <v>7</v>
      </c>
    </row>
    <row r="373" spans="1:6" x14ac:dyDescent="0.35">
      <c r="A373">
        <v>1011</v>
      </c>
      <c r="B373" s="1">
        <v>45048</v>
      </c>
      <c r="C373">
        <v>918.72</v>
      </c>
      <c r="D373" t="s">
        <v>12</v>
      </c>
      <c r="E373">
        <v>945619</v>
      </c>
      <c r="F373" t="s">
        <v>9</v>
      </c>
    </row>
    <row r="374" spans="1:6" x14ac:dyDescent="0.35">
      <c r="A374">
        <v>4111</v>
      </c>
      <c r="B374" s="1">
        <v>45048</v>
      </c>
      <c r="C374">
        <v>729.28</v>
      </c>
      <c r="D374" t="s">
        <v>12</v>
      </c>
      <c r="E374">
        <v>819656</v>
      </c>
      <c r="F374" t="s">
        <v>7</v>
      </c>
    </row>
    <row r="375" spans="1:6" x14ac:dyDescent="0.35">
      <c r="A375">
        <v>4630</v>
      </c>
      <c r="B375" s="1">
        <v>45048</v>
      </c>
      <c r="C375">
        <v>781.33</v>
      </c>
      <c r="D375" t="s">
        <v>8</v>
      </c>
      <c r="E375">
        <v>635280</v>
      </c>
      <c r="F375" t="s">
        <v>10</v>
      </c>
    </row>
    <row r="376" spans="1:6" x14ac:dyDescent="0.35">
      <c r="A376">
        <v>1480</v>
      </c>
      <c r="B376" s="1">
        <v>45048</v>
      </c>
      <c r="C376">
        <v>809.04</v>
      </c>
      <c r="D376" t="s">
        <v>6</v>
      </c>
      <c r="E376">
        <v>649300</v>
      </c>
      <c r="F376" t="s">
        <v>10</v>
      </c>
    </row>
    <row r="377" spans="1:6" x14ac:dyDescent="0.35">
      <c r="A377">
        <v>4214</v>
      </c>
      <c r="B377" s="1">
        <v>45048</v>
      </c>
      <c r="C377">
        <v>237.72</v>
      </c>
      <c r="D377" t="s">
        <v>12</v>
      </c>
      <c r="E377">
        <v>623555</v>
      </c>
      <c r="F377" t="s">
        <v>11</v>
      </c>
    </row>
    <row r="378" spans="1:6" x14ac:dyDescent="0.35">
      <c r="A378">
        <v>9268</v>
      </c>
      <c r="B378" s="1">
        <v>45048</v>
      </c>
      <c r="C378">
        <v>660.96</v>
      </c>
      <c r="D378" t="s">
        <v>13</v>
      </c>
      <c r="E378">
        <v>469438</v>
      </c>
      <c r="F378" t="s">
        <v>11</v>
      </c>
    </row>
    <row r="379" spans="1:6" x14ac:dyDescent="0.35">
      <c r="A379">
        <v>3623</v>
      </c>
      <c r="B379" s="1">
        <v>45048</v>
      </c>
      <c r="C379">
        <v>564.25</v>
      </c>
      <c r="D379" t="s">
        <v>13</v>
      </c>
      <c r="E379">
        <v>343118</v>
      </c>
      <c r="F379" t="s">
        <v>7</v>
      </c>
    </row>
    <row r="380" spans="1:6" x14ac:dyDescent="0.35">
      <c r="A380">
        <v>1331</v>
      </c>
      <c r="B380" s="1">
        <v>45048</v>
      </c>
      <c r="C380">
        <v>819.21</v>
      </c>
      <c r="D380" t="s">
        <v>6</v>
      </c>
      <c r="E380">
        <v>426053</v>
      </c>
      <c r="F380" t="s">
        <v>11</v>
      </c>
    </row>
    <row r="381" spans="1:6" x14ac:dyDescent="0.35">
      <c r="A381">
        <v>8432</v>
      </c>
      <c r="B381" s="1">
        <v>45048</v>
      </c>
      <c r="C381">
        <v>165.84</v>
      </c>
      <c r="D381" t="s">
        <v>6</v>
      </c>
      <c r="E381">
        <v>856648</v>
      </c>
      <c r="F381" t="s">
        <v>11</v>
      </c>
    </row>
    <row r="382" spans="1:6" x14ac:dyDescent="0.35">
      <c r="A382">
        <v>3634</v>
      </c>
      <c r="B382" s="1">
        <v>45048</v>
      </c>
      <c r="C382">
        <v>417.53</v>
      </c>
      <c r="D382" t="s">
        <v>13</v>
      </c>
      <c r="E382">
        <v>402218</v>
      </c>
      <c r="F382" t="s">
        <v>7</v>
      </c>
    </row>
    <row r="383" spans="1:6" x14ac:dyDescent="0.35">
      <c r="A383">
        <v>1519</v>
      </c>
      <c r="B383" s="1">
        <v>45048</v>
      </c>
      <c r="C383">
        <v>89.42</v>
      </c>
      <c r="D383" t="s">
        <v>12</v>
      </c>
      <c r="E383">
        <v>158760</v>
      </c>
      <c r="F383" t="s">
        <v>11</v>
      </c>
    </row>
    <row r="384" spans="1:6" x14ac:dyDescent="0.35">
      <c r="A384">
        <v>7209</v>
      </c>
      <c r="B384" s="1">
        <v>45048</v>
      </c>
      <c r="C384">
        <v>38.409999999999997</v>
      </c>
      <c r="D384" t="s">
        <v>6</v>
      </c>
      <c r="E384">
        <v>290672</v>
      </c>
      <c r="F384" t="s">
        <v>7</v>
      </c>
    </row>
    <row r="385" spans="1:6" x14ac:dyDescent="0.35">
      <c r="A385">
        <v>8216</v>
      </c>
      <c r="B385" s="1">
        <v>45048</v>
      </c>
      <c r="C385">
        <v>192.52</v>
      </c>
      <c r="D385" t="s">
        <v>8</v>
      </c>
      <c r="E385">
        <v>364742</v>
      </c>
      <c r="F385" t="s">
        <v>7</v>
      </c>
    </row>
    <row r="386" spans="1:6" x14ac:dyDescent="0.35">
      <c r="A386">
        <v>6478</v>
      </c>
      <c r="B386" s="1">
        <v>45049</v>
      </c>
      <c r="C386">
        <v>880.99</v>
      </c>
      <c r="D386" t="s">
        <v>13</v>
      </c>
      <c r="E386">
        <v>536754</v>
      </c>
      <c r="F386" t="s">
        <v>10</v>
      </c>
    </row>
    <row r="387" spans="1:6" x14ac:dyDescent="0.35">
      <c r="A387">
        <v>7363</v>
      </c>
      <c r="B387" s="1">
        <v>45049</v>
      </c>
      <c r="C387">
        <v>935.85</v>
      </c>
      <c r="D387" t="s">
        <v>12</v>
      </c>
      <c r="E387">
        <v>284654</v>
      </c>
      <c r="F387" t="s">
        <v>9</v>
      </c>
    </row>
    <row r="388" spans="1:6" x14ac:dyDescent="0.35">
      <c r="A388">
        <v>6703</v>
      </c>
      <c r="B388" s="1">
        <v>45049</v>
      </c>
      <c r="C388">
        <v>963.65</v>
      </c>
      <c r="D388" t="s">
        <v>6</v>
      </c>
      <c r="E388">
        <v>337288</v>
      </c>
      <c r="F388" t="s">
        <v>9</v>
      </c>
    </row>
    <row r="389" spans="1:6" x14ac:dyDescent="0.35">
      <c r="A389">
        <v>7291</v>
      </c>
      <c r="B389" s="1">
        <v>45049</v>
      </c>
      <c r="C389">
        <v>963.62</v>
      </c>
      <c r="D389" t="s">
        <v>6</v>
      </c>
      <c r="E389">
        <v>929504</v>
      </c>
      <c r="F389" t="s">
        <v>9</v>
      </c>
    </row>
    <row r="390" spans="1:6" x14ac:dyDescent="0.35">
      <c r="A390">
        <v>4475</v>
      </c>
      <c r="B390" s="1">
        <v>45049</v>
      </c>
      <c r="C390">
        <v>799.85</v>
      </c>
      <c r="D390" t="s">
        <v>6</v>
      </c>
      <c r="E390">
        <v>393243</v>
      </c>
      <c r="F390" t="s">
        <v>11</v>
      </c>
    </row>
    <row r="391" spans="1:6" x14ac:dyDescent="0.35">
      <c r="A391">
        <v>6730</v>
      </c>
      <c r="B391" s="1">
        <v>45049</v>
      </c>
      <c r="C391">
        <v>171.88</v>
      </c>
      <c r="D391" t="s">
        <v>6</v>
      </c>
      <c r="E391">
        <v>885342</v>
      </c>
      <c r="F391" t="s">
        <v>10</v>
      </c>
    </row>
    <row r="392" spans="1:6" x14ac:dyDescent="0.35">
      <c r="A392">
        <v>8210</v>
      </c>
      <c r="B392" s="1">
        <v>45049</v>
      </c>
      <c r="C392">
        <v>725.21</v>
      </c>
      <c r="D392" t="s">
        <v>12</v>
      </c>
      <c r="E392">
        <v>531709</v>
      </c>
      <c r="F392" t="s">
        <v>7</v>
      </c>
    </row>
    <row r="393" spans="1:6" x14ac:dyDescent="0.35">
      <c r="A393">
        <v>2468</v>
      </c>
      <c r="B393" s="1">
        <v>45049</v>
      </c>
      <c r="C393">
        <v>558.67999999999995</v>
      </c>
      <c r="D393" t="s">
        <v>6</v>
      </c>
      <c r="E393">
        <v>503951</v>
      </c>
      <c r="F393" t="s">
        <v>10</v>
      </c>
    </row>
    <row r="394" spans="1:6" x14ac:dyDescent="0.35">
      <c r="A394">
        <v>9674</v>
      </c>
      <c r="B394" s="1">
        <v>45049</v>
      </c>
      <c r="C394">
        <v>769.17</v>
      </c>
      <c r="D394" t="s">
        <v>12</v>
      </c>
      <c r="E394">
        <v>267378</v>
      </c>
      <c r="F394" t="s">
        <v>10</v>
      </c>
    </row>
    <row r="395" spans="1:6" x14ac:dyDescent="0.35">
      <c r="A395">
        <v>6420</v>
      </c>
      <c r="B395" s="1">
        <v>45049</v>
      </c>
      <c r="C395">
        <v>136.93</v>
      </c>
      <c r="D395" t="s">
        <v>12</v>
      </c>
      <c r="E395">
        <v>204904</v>
      </c>
      <c r="F395" t="s">
        <v>11</v>
      </c>
    </row>
    <row r="396" spans="1:6" x14ac:dyDescent="0.35">
      <c r="A396">
        <v>1920</v>
      </c>
      <c r="B396" s="1">
        <v>45049</v>
      </c>
      <c r="C396">
        <v>512.26</v>
      </c>
      <c r="D396" t="s">
        <v>6</v>
      </c>
      <c r="E396">
        <v>584172</v>
      </c>
      <c r="F396" t="s">
        <v>7</v>
      </c>
    </row>
    <row r="397" spans="1:6" x14ac:dyDescent="0.35">
      <c r="A397">
        <v>9950</v>
      </c>
      <c r="B397" s="1">
        <v>45049</v>
      </c>
      <c r="C397">
        <v>679.11</v>
      </c>
      <c r="D397" t="s">
        <v>6</v>
      </c>
      <c r="E397">
        <v>739711</v>
      </c>
      <c r="F397" t="s">
        <v>7</v>
      </c>
    </row>
    <row r="398" spans="1:6" x14ac:dyDescent="0.35">
      <c r="A398">
        <v>7204</v>
      </c>
      <c r="B398" s="1">
        <v>45049</v>
      </c>
      <c r="C398">
        <v>550.55999999999995</v>
      </c>
      <c r="D398" t="s">
        <v>8</v>
      </c>
      <c r="E398">
        <v>969067</v>
      </c>
      <c r="F398" t="s">
        <v>7</v>
      </c>
    </row>
    <row r="399" spans="1:6" x14ac:dyDescent="0.35">
      <c r="A399">
        <v>8542</v>
      </c>
      <c r="B399" s="1">
        <v>45049</v>
      </c>
      <c r="C399">
        <v>164.55</v>
      </c>
      <c r="D399" t="s">
        <v>6</v>
      </c>
      <c r="E399">
        <v>484914</v>
      </c>
      <c r="F399" t="s">
        <v>9</v>
      </c>
    </row>
    <row r="400" spans="1:6" x14ac:dyDescent="0.35">
      <c r="A400">
        <v>8895</v>
      </c>
      <c r="B400" s="1">
        <v>45049</v>
      </c>
      <c r="C400">
        <v>667.07</v>
      </c>
      <c r="D400" t="s">
        <v>13</v>
      </c>
      <c r="E400">
        <v>255875</v>
      </c>
      <c r="F400" t="s">
        <v>10</v>
      </c>
    </row>
    <row r="401" spans="1:6" x14ac:dyDescent="0.35">
      <c r="A401">
        <v>4029</v>
      </c>
      <c r="B401" s="1">
        <v>45050</v>
      </c>
      <c r="C401">
        <v>886.64</v>
      </c>
      <c r="D401" t="s">
        <v>6</v>
      </c>
      <c r="E401">
        <v>295646</v>
      </c>
      <c r="F401" t="s">
        <v>7</v>
      </c>
    </row>
    <row r="402" spans="1:6" x14ac:dyDescent="0.35">
      <c r="A402">
        <v>7437</v>
      </c>
      <c r="B402" s="1">
        <v>45050</v>
      </c>
      <c r="C402">
        <v>122.75</v>
      </c>
      <c r="D402" t="s">
        <v>12</v>
      </c>
      <c r="E402">
        <v>720995</v>
      </c>
      <c r="F402" t="s">
        <v>9</v>
      </c>
    </row>
    <row r="403" spans="1:6" x14ac:dyDescent="0.35">
      <c r="A403">
        <v>6188</v>
      </c>
      <c r="B403" s="1">
        <v>45050</v>
      </c>
      <c r="C403">
        <v>115.49</v>
      </c>
      <c r="D403" t="s">
        <v>8</v>
      </c>
      <c r="E403">
        <v>423241</v>
      </c>
      <c r="F403" t="s">
        <v>7</v>
      </c>
    </row>
    <row r="404" spans="1:6" x14ac:dyDescent="0.35">
      <c r="A404">
        <v>2294</v>
      </c>
      <c r="B404" s="1">
        <v>45050</v>
      </c>
      <c r="C404">
        <v>959.7</v>
      </c>
      <c r="D404" t="s">
        <v>13</v>
      </c>
      <c r="E404">
        <v>692447</v>
      </c>
      <c r="F404" t="s">
        <v>9</v>
      </c>
    </row>
    <row r="405" spans="1:6" x14ac:dyDescent="0.35">
      <c r="A405">
        <v>7543</v>
      </c>
      <c r="B405" s="1">
        <v>45050</v>
      </c>
      <c r="C405">
        <v>227.13</v>
      </c>
      <c r="D405" t="s">
        <v>12</v>
      </c>
      <c r="E405">
        <v>634277</v>
      </c>
      <c r="F405" t="s">
        <v>7</v>
      </c>
    </row>
    <row r="406" spans="1:6" x14ac:dyDescent="0.35">
      <c r="A406">
        <v>7563</v>
      </c>
      <c r="B406" s="1">
        <v>45050</v>
      </c>
      <c r="C406">
        <v>689.42</v>
      </c>
      <c r="D406" t="s">
        <v>8</v>
      </c>
      <c r="E406">
        <v>710610</v>
      </c>
      <c r="F406" t="s">
        <v>11</v>
      </c>
    </row>
    <row r="407" spans="1:6" x14ac:dyDescent="0.35">
      <c r="A407">
        <v>7939</v>
      </c>
      <c r="B407" s="1">
        <v>45050</v>
      </c>
      <c r="C407">
        <v>354.82</v>
      </c>
      <c r="D407" t="s">
        <v>6</v>
      </c>
      <c r="E407">
        <v>461260</v>
      </c>
      <c r="F407" t="s">
        <v>10</v>
      </c>
    </row>
    <row r="408" spans="1:6" x14ac:dyDescent="0.35">
      <c r="A408">
        <v>2337</v>
      </c>
      <c r="B408" s="1">
        <v>45050</v>
      </c>
      <c r="C408">
        <v>232.29</v>
      </c>
      <c r="D408" t="s">
        <v>6</v>
      </c>
      <c r="E408">
        <v>203896</v>
      </c>
      <c r="F408" t="s">
        <v>11</v>
      </c>
    </row>
    <row r="409" spans="1:6" x14ac:dyDescent="0.35">
      <c r="A409">
        <v>4178</v>
      </c>
      <c r="B409" s="1">
        <v>45050</v>
      </c>
      <c r="C409">
        <v>681.52</v>
      </c>
      <c r="D409" t="s">
        <v>13</v>
      </c>
      <c r="E409">
        <v>584106</v>
      </c>
      <c r="F409" t="s">
        <v>11</v>
      </c>
    </row>
    <row r="410" spans="1:6" x14ac:dyDescent="0.35">
      <c r="A410">
        <v>9368</v>
      </c>
      <c r="B410" s="1">
        <v>45050</v>
      </c>
      <c r="C410">
        <v>64.88</v>
      </c>
      <c r="D410" t="s">
        <v>12</v>
      </c>
      <c r="E410">
        <v>485548</v>
      </c>
      <c r="F410" t="s">
        <v>9</v>
      </c>
    </row>
    <row r="411" spans="1:6" x14ac:dyDescent="0.35">
      <c r="A411">
        <v>9576</v>
      </c>
      <c r="B411" s="1">
        <v>45050</v>
      </c>
      <c r="C411">
        <v>77</v>
      </c>
      <c r="D411" t="s">
        <v>8</v>
      </c>
      <c r="E411">
        <v>509420</v>
      </c>
      <c r="F411" t="s">
        <v>7</v>
      </c>
    </row>
    <row r="412" spans="1:6" x14ac:dyDescent="0.35">
      <c r="A412">
        <v>3735</v>
      </c>
      <c r="B412" s="1">
        <v>45050</v>
      </c>
      <c r="C412">
        <v>135.66</v>
      </c>
      <c r="D412" t="s">
        <v>6</v>
      </c>
      <c r="E412">
        <v>868538</v>
      </c>
      <c r="F412" t="s">
        <v>10</v>
      </c>
    </row>
    <row r="413" spans="1:6" x14ac:dyDescent="0.35">
      <c r="A413">
        <v>6584</v>
      </c>
      <c r="B413" s="1">
        <v>45050</v>
      </c>
      <c r="C413">
        <v>827.06</v>
      </c>
      <c r="D413" t="s">
        <v>12</v>
      </c>
      <c r="E413">
        <v>985331</v>
      </c>
      <c r="F413" t="s">
        <v>7</v>
      </c>
    </row>
    <row r="414" spans="1:6" x14ac:dyDescent="0.35">
      <c r="A414">
        <v>3435</v>
      </c>
      <c r="B414" s="1">
        <v>45050</v>
      </c>
      <c r="C414">
        <v>398.57</v>
      </c>
      <c r="D414" t="s">
        <v>6</v>
      </c>
      <c r="E414">
        <v>240384</v>
      </c>
      <c r="F414" t="s">
        <v>7</v>
      </c>
    </row>
    <row r="415" spans="1:6" x14ac:dyDescent="0.35">
      <c r="A415">
        <v>5331</v>
      </c>
      <c r="B415" s="1">
        <v>45050</v>
      </c>
      <c r="C415">
        <v>241.68</v>
      </c>
      <c r="D415" t="s">
        <v>12</v>
      </c>
      <c r="E415">
        <v>643042</v>
      </c>
      <c r="F415" t="s">
        <v>11</v>
      </c>
    </row>
    <row r="416" spans="1:6" x14ac:dyDescent="0.35">
      <c r="A416">
        <v>3578</v>
      </c>
      <c r="B416" s="1">
        <v>45050</v>
      </c>
      <c r="C416">
        <v>606</v>
      </c>
      <c r="D416" t="s">
        <v>8</v>
      </c>
      <c r="E416">
        <v>793223</v>
      </c>
      <c r="F416" t="s">
        <v>9</v>
      </c>
    </row>
    <row r="417" spans="1:6" x14ac:dyDescent="0.35">
      <c r="A417">
        <v>2522</v>
      </c>
      <c r="B417" s="1">
        <v>45050</v>
      </c>
      <c r="C417">
        <v>816.81</v>
      </c>
      <c r="D417" t="s">
        <v>12</v>
      </c>
      <c r="E417">
        <v>219361</v>
      </c>
      <c r="F417" t="s">
        <v>7</v>
      </c>
    </row>
    <row r="418" spans="1:6" x14ac:dyDescent="0.35">
      <c r="A418">
        <v>7606</v>
      </c>
      <c r="B418" s="1">
        <v>45050</v>
      </c>
      <c r="C418">
        <v>54.79</v>
      </c>
      <c r="D418" t="s">
        <v>8</v>
      </c>
      <c r="E418">
        <v>697983</v>
      </c>
      <c r="F418" t="s">
        <v>9</v>
      </c>
    </row>
    <row r="419" spans="1:6" x14ac:dyDescent="0.35">
      <c r="A419">
        <v>7453</v>
      </c>
      <c r="B419" s="1">
        <v>45050</v>
      </c>
      <c r="C419">
        <v>796.95</v>
      </c>
      <c r="D419" t="s">
        <v>6</v>
      </c>
      <c r="E419">
        <v>684929</v>
      </c>
      <c r="F419" t="s">
        <v>11</v>
      </c>
    </row>
    <row r="420" spans="1:6" x14ac:dyDescent="0.35">
      <c r="A420">
        <v>1590</v>
      </c>
      <c r="B420" s="1">
        <v>45050</v>
      </c>
      <c r="C420">
        <v>246.86</v>
      </c>
      <c r="D420" t="s">
        <v>8</v>
      </c>
      <c r="E420">
        <v>265092</v>
      </c>
      <c r="F420" t="s">
        <v>10</v>
      </c>
    </row>
    <row r="421" spans="1:6" x14ac:dyDescent="0.35">
      <c r="A421">
        <v>9331</v>
      </c>
      <c r="B421" s="1">
        <v>45050</v>
      </c>
      <c r="C421">
        <v>28.05</v>
      </c>
      <c r="D421" t="s">
        <v>6</v>
      </c>
      <c r="E421">
        <v>289019</v>
      </c>
      <c r="F421" t="s">
        <v>9</v>
      </c>
    </row>
    <row r="422" spans="1:6" x14ac:dyDescent="0.35">
      <c r="A422">
        <v>3504</v>
      </c>
      <c r="B422" s="1">
        <v>45050</v>
      </c>
      <c r="C422">
        <v>764.89</v>
      </c>
      <c r="D422" t="s">
        <v>8</v>
      </c>
      <c r="E422">
        <v>728038</v>
      </c>
      <c r="F422" t="s">
        <v>11</v>
      </c>
    </row>
    <row r="423" spans="1:6" x14ac:dyDescent="0.35">
      <c r="A423">
        <v>6050</v>
      </c>
      <c r="B423" s="1">
        <v>45050</v>
      </c>
      <c r="C423">
        <v>899.99</v>
      </c>
      <c r="D423" t="s">
        <v>8</v>
      </c>
      <c r="E423">
        <v>475190</v>
      </c>
      <c r="F423" t="s">
        <v>9</v>
      </c>
    </row>
    <row r="424" spans="1:6" x14ac:dyDescent="0.35">
      <c r="A424">
        <v>6621</v>
      </c>
      <c r="B424" s="1">
        <v>45050</v>
      </c>
      <c r="C424">
        <v>192.07</v>
      </c>
      <c r="D424" t="s">
        <v>13</v>
      </c>
      <c r="E424">
        <v>320759</v>
      </c>
      <c r="F424" t="s">
        <v>7</v>
      </c>
    </row>
    <row r="425" spans="1:6" x14ac:dyDescent="0.35">
      <c r="A425">
        <v>5833</v>
      </c>
      <c r="B425" s="1">
        <v>45050</v>
      </c>
      <c r="C425">
        <v>618.48</v>
      </c>
      <c r="D425" t="s">
        <v>12</v>
      </c>
      <c r="E425">
        <v>240057</v>
      </c>
      <c r="F425" t="s">
        <v>7</v>
      </c>
    </row>
    <row r="426" spans="1:6" x14ac:dyDescent="0.35">
      <c r="A426">
        <v>5488</v>
      </c>
      <c r="B426" s="1">
        <v>45050</v>
      </c>
      <c r="C426">
        <v>825.27</v>
      </c>
      <c r="D426" t="s">
        <v>13</v>
      </c>
      <c r="E426">
        <v>766275</v>
      </c>
      <c r="F426" t="s">
        <v>10</v>
      </c>
    </row>
    <row r="427" spans="1:6" x14ac:dyDescent="0.35">
      <c r="A427">
        <v>7099</v>
      </c>
      <c r="B427" s="1">
        <v>45050</v>
      </c>
      <c r="C427">
        <v>855.78</v>
      </c>
      <c r="D427" t="s">
        <v>6</v>
      </c>
      <c r="E427">
        <v>572623</v>
      </c>
      <c r="F427" t="s">
        <v>9</v>
      </c>
    </row>
    <row r="428" spans="1:6" x14ac:dyDescent="0.35">
      <c r="A428">
        <v>3697</v>
      </c>
      <c r="B428" s="1">
        <v>45051</v>
      </c>
      <c r="C428">
        <v>12.13</v>
      </c>
      <c r="D428" t="s">
        <v>13</v>
      </c>
      <c r="E428">
        <v>378085</v>
      </c>
      <c r="F428" t="s">
        <v>7</v>
      </c>
    </row>
    <row r="429" spans="1:6" x14ac:dyDescent="0.35">
      <c r="A429">
        <v>9307</v>
      </c>
      <c r="B429" s="1">
        <v>45051</v>
      </c>
      <c r="C429">
        <v>468.08</v>
      </c>
      <c r="D429" t="s">
        <v>8</v>
      </c>
      <c r="E429">
        <v>571579</v>
      </c>
      <c r="F429" t="s">
        <v>9</v>
      </c>
    </row>
    <row r="430" spans="1:6" x14ac:dyDescent="0.35">
      <c r="A430">
        <v>2425</v>
      </c>
      <c r="B430" s="1">
        <v>45051</v>
      </c>
      <c r="C430">
        <v>560.79999999999995</v>
      </c>
      <c r="D430" t="s">
        <v>6</v>
      </c>
      <c r="E430">
        <v>998235</v>
      </c>
      <c r="F430" t="s">
        <v>11</v>
      </c>
    </row>
    <row r="431" spans="1:6" x14ac:dyDescent="0.35">
      <c r="A431">
        <v>4788</v>
      </c>
      <c r="B431" s="1">
        <v>45051</v>
      </c>
      <c r="C431">
        <v>697.01</v>
      </c>
      <c r="D431" t="s">
        <v>12</v>
      </c>
      <c r="E431">
        <v>167348</v>
      </c>
      <c r="F431" t="s">
        <v>7</v>
      </c>
    </row>
    <row r="432" spans="1:6" x14ac:dyDescent="0.35">
      <c r="A432">
        <v>3369</v>
      </c>
      <c r="B432" s="1">
        <v>45051</v>
      </c>
      <c r="C432">
        <v>198.7</v>
      </c>
      <c r="D432" t="s">
        <v>12</v>
      </c>
      <c r="E432">
        <v>173201</v>
      </c>
      <c r="F432" t="s">
        <v>11</v>
      </c>
    </row>
    <row r="433" spans="1:6" x14ac:dyDescent="0.35">
      <c r="A433">
        <v>7251</v>
      </c>
      <c r="B433" s="1">
        <v>45051</v>
      </c>
      <c r="C433">
        <v>422.4</v>
      </c>
      <c r="D433" t="s">
        <v>6</v>
      </c>
      <c r="E433">
        <v>678944</v>
      </c>
      <c r="F433" t="s">
        <v>10</v>
      </c>
    </row>
    <row r="434" spans="1:6" x14ac:dyDescent="0.35">
      <c r="A434">
        <v>4751</v>
      </c>
      <c r="B434" s="1">
        <v>45051</v>
      </c>
      <c r="C434">
        <v>98.44</v>
      </c>
      <c r="D434" t="s">
        <v>8</v>
      </c>
      <c r="E434">
        <v>208214</v>
      </c>
      <c r="F434" t="s">
        <v>11</v>
      </c>
    </row>
    <row r="435" spans="1:6" x14ac:dyDescent="0.35">
      <c r="A435">
        <v>6963</v>
      </c>
      <c r="B435" s="1">
        <v>45051</v>
      </c>
      <c r="C435">
        <v>921.02</v>
      </c>
      <c r="D435" t="s">
        <v>12</v>
      </c>
      <c r="E435">
        <v>999138</v>
      </c>
      <c r="F435" t="s">
        <v>10</v>
      </c>
    </row>
    <row r="436" spans="1:6" x14ac:dyDescent="0.35">
      <c r="A436">
        <v>9289</v>
      </c>
      <c r="B436" s="1">
        <v>45051</v>
      </c>
      <c r="C436">
        <v>736.32</v>
      </c>
      <c r="D436" t="s">
        <v>8</v>
      </c>
      <c r="E436">
        <v>749838</v>
      </c>
      <c r="F436" t="s">
        <v>11</v>
      </c>
    </row>
    <row r="437" spans="1:6" x14ac:dyDescent="0.35">
      <c r="A437">
        <v>7883</v>
      </c>
      <c r="B437" s="1">
        <v>45051</v>
      </c>
      <c r="C437">
        <v>905.79</v>
      </c>
      <c r="D437" t="s">
        <v>8</v>
      </c>
      <c r="E437">
        <v>998348</v>
      </c>
      <c r="F437" t="s">
        <v>7</v>
      </c>
    </row>
    <row r="438" spans="1:6" x14ac:dyDescent="0.35">
      <c r="A438">
        <v>9899</v>
      </c>
      <c r="B438" s="1">
        <v>45051</v>
      </c>
      <c r="C438">
        <v>896.8</v>
      </c>
      <c r="D438" t="s">
        <v>13</v>
      </c>
      <c r="E438">
        <v>958130</v>
      </c>
      <c r="F438" t="s">
        <v>11</v>
      </c>
    </row>
    <row r="439" spans="1:6" x14ac:dyDescent="0.35">
      <c r="A439">
        <v>2654</v>
      </c>
      <c r="B439" s="1">
        <v>45051</v>
      </c>
      <c r="C439">
        <v>285.19</v>
      </c>
      <c r="D439" t="s">
        <v>6</v>
      </c>
      <c r="E439">
        <v>270555</v>
      </c>
      <c r="F439" t="s">
        <v>11</v>
      </c>
    </row>
    <row r="440" spans="1:6" x14ac:dyDescent="0.35">
      <c r="A440">
        <v>8254</v>
      </c>
      <c r="B440" s="1">
        <v>45051</v>
      </c>
      <c r="C440">
        <v>567.54</v>
      </c>
      <c r="D440" t="s">
        <v>12</v>
      </c>
      <c r="E440">
        <v>894268</v>
      </c>
      <c r="F440" t="s">
        <v>11</v>
      </c>
    </row>
    <row r="441" spans="1:6" x14ac:dyDescent="0.35">
      <c r="A441">
        <v>4765</v>
      </c>
      <c r="B441" s="1">
        <v>45051</v>
      </c>
      <c r="C441">
        <v>391.61</v>
      </c>
      <c r="D441" t="s">
        <v>8</v>
      </c>
      <c r="E441">
        <v>117367</v>
      </c>
      <c r="F441" t="s">
        <v>9</v>
      </c>
    </row>
    <row r="442" spans="1:6" x14ac:dyDescent="0.35">
      <c r="A442">
        <v>5634</v>
      </c>
      <c r="B442" s="1">
        <v>45051</v>
      </c>
      <c r="C442">
        <v>414.68</v>
      </c>
      <c r="D442" t="s">
        <v>6</v>
      </c>
      <c r="E442">
        <v>811875</v>
      </c>
      <c r="F442" t="s">
        <v>10</v>
      </c>
    </row>
    <row r="443" spans="1:6" x14ac:dyDescent="0.35">
      <c r="A443">
        <v>2682</v>
      </c>
      <c r="B443" s="1">
        <v>45051</v>
      </c>
      <c r="C443">
        <v>508.3</v>
      </c>
      <c r="D443" t="s">
        <v>6</v>
      </c>
      <c r="E443">
        <v>275133</v>
      </c>
      <c r="F443" t="s">
        <v>10</v>
      </c>
    </row>
    <row r="444" spans="1:6" x14ac:dyDescent="0.35">
      <c r="A444">
        <v>9609</v>
      </c>
      <c r="B444" s="1">
        <v>45051</v>
      </c>
      <c r="C444">
        <v>320.62</v>
      </c>
      <c r="D444" t="s">
        <v>12</v>
      </c>
      <c r="E444">
        <v>581992</v>
      </c>
      <c r="F444" t="s">
        <v>11</v>
      </c>
    </row>
    <row r="445" spans="1:6" x14ac:dyDescent="0.35">
      <c r="A445">
        <v>8821</v>
      </c>
      <c r="B445" s="1">
        <v>45051</v>
      </c>
      <c r="C445">
        <v>14.62</v>
      </c>
      <c r="D445" t="s">
        <v>12</v>
      </c>
      <c r="E445">
        <v>866151</v>
      </c>
      <c r="F445" t="s">
        <v>11</v>
      </c>
    </row>
    <row r="446" spans="1:6" x14ac:dyDescent="0.35">
      <c r="A446">
        <v>5583</v>
      </c>
      <c r="B446" s="1">
        <v>45051</v>
      </c>
      <c r="C446">
        <v>145.86000000000001</v>
      </c>
      <c r="D446" t="s">
        <v>12</v>
      </c>
      <c r="E446">
        <v>773870</v>
      </c>
      <c r="F446" t="s">
        <v>9</v>
      </c>
    </row>
    <row r="447" spans="1:6" x14ac:dyDescent="0.35">
      <c r="A447">
        <v>6168</v>
      </c>
      <c r="B447" s="1">
        <v>45052</v>
      </c>
      <c r="C447">
        <v>275.06</v>
      </c>
      <c r="D447" t="s">
        <v>12</v>
      </c>
      <c r="E447">
        <v>694731</v>
      </c>
      <c r="F447" t="s">
        <v>11</v>
      </c>
    </row>
    <row r="448" spans="1:6" x14ac:dyDescent="0.35">
      <c r="A448">
        <v>9328</v>
      </c>
      <c r="B448" s="1">
        <v>45052</v>
      </c>
      <c r="C448">
        <v>788.22</v>
      </c>
      <c r="D448" t="s">
        <v>8</v>
      </c>
      <c r="E448">
        <v>268546</v>
      </c>
      <c r="F448" t="s">
        <v>7</v>
      </c>
    </row>
    <row r="449" spans="1:6" x14ac:dyDescent="0.35">
      <c r="A449">
        <v>8161</v>
      </c>
      <c r="B449" s="1">
        <v>45052</v>
      </c>
      <c r="C449">
        <v>257.39999999999998</v>
      </c>
      <c r="D449" t="s">
        <v>13</v>
      </c>
      <c r="E449">
        <v>968668</v>
      </c>
      <c r="F449" t="s">
        <v>7</v>
      </c>
    </row>
    <row r="450" spans="1:6" x14ac:dyDescent="0.35">
      <c r="A450">
        <v>1992</v>
      </c>
      <c r="B450" s="1">
        <v>45052</v>
      </c>
      <c r="C450">
        <v>283.12</v>
      </c>
      <c r="D450" t="s">
        <v>8</v>
      </c>
      <c r="E450">
        <v>989227</v>
      </c>
      <c r="F450" t="s">
        <v>7</v>
      </c>
    </row>
    <row r="451" spans="1:6" x14ac:dyDescent="0.35">
      <c r="A451">
        <v>2180</v>
      </c>
      <c r="B451" s="1">
        <v>45052</v>
      </c>
      <c r="C451">
        <v>863.15</v>
      </c>
      <c r="D451" t="s">
        <v>8</v>
      </c>
      <c r="E451">
        <v>557409</v>
      </c>
      <c r="F451" t="s">
        <v>10</v>
      </c>
    </row>
    <row r="452" spans="1:6" x14ac:dyDescent="0.35">
      <c r="A452">
        <v>6828</v>
      </c>
      <c r="B452" s="1">
        <v>45052</v>
      </c>
      <c r="C452">
        <v>518.33000000000004</v>
      </c>
      <c r="D452" t="s">
        <v>6</v>
      </c>
      <c r="E452">
        <v>372804</v>
      </c>
      <c r="F452" t="s">
        <v>9</v>
      </c>
    </row>
    <row r="453" spans="1:6" x14ac:dyDescent="0.35">
      <c r="A453">
        <v>6658</v>
      </c>
      <c r="B453" s="1">
        <v>45052</v>
      </c>
      <c r="C453">
        <v>139.46</v>
      </c>
      <c r="D453" t="s">
        <v>6</v>
      </c>
      <c r="E453">
        <v>639995</v>
      </c>
      <c r="F453" t="s">
        <v>10</v>
      </c>
    </row>
    <row r="454" spans="1:6" x14ac:dyDescent="0.35">
      <c r="A454">
        <v>1813</v>
      </c>
      <c r="B454" s="1">
        <v>45052</v>
      </c>
      <c r="C454">
        <v>576.04999999999995</v>
      </c>
      <c r="D454" t="s">
        <v>13</v>
      </c>
      <c r="E454">
        <v>261050</v>
      </c>
      <c r="F454" t="s">
        <v>10</v>
      </c>
    </row>
    <row r="455" spans="1:6" x14ac:dyDescent="0.35">
      <c r="A455">
        <v>9802</v>
      </c>
      <c r="B455" s="1">
        <v>45052</v>
      </c>
      <c r="C455">
        <v>533.54999999999995</v>
      </c>
      <c r="D455" t="s">
        <v>12</v>
      </c>
      <c r="E455">
        <v>975373</v>
      </c>
      <c r="F455" t="s">
        <v>10</v>
      </c>
    </row>
    <row r="456" spans="1:6" x14ac:dyDescent="0.35">
      <c r="A456">
        <v>9444</v>
      </c>
      <c r="B456" s="1">
        <v>45052</v>
      </c>
      <c r="C456">
        <v>989.23</v>
      </c>
      <c r="D456" t="s">
        <v>13</v>
      </c>
      <c r="E456">
        <v>365618</v>
      </c>
      <c r="F456" t="s">
        <v>10</v>
      </c>
    </row>
    <row r="457" spans="1:6" x14ac:dyDescent="0.35">
      <c r="A457">
        <v>6344</v>
      </c>
      <c r="B457" s="1">
        <v>45052</v>
      </c>
      <c r="C457">
        <v>700.24</v>
      </c>
      <c r="D457" t="s">
        <v>12</v>
      </c>
      <c r="E457">
        <v>301158</v>
      </c>
      <c r="F457" t="s">
        <v>7</v>
      </c>
    </row>
    <row r="458" spans="1:6" x14ac:dyDescent="0.35">
      <c r="A458">
        <v>1993</v>
      </c>
      <c r="B458" s="1">
        <v>45052</v>
      </c>
      <c r="C458">
        <v>730.93</v>
      </c>
      <c r="D458" t="s">
        <v>8</v>
      </c>
      <c r="E458">
        <v>360735</v>
      </c>
      <c r="F458" t="s">
        <v>9</v>
      </c>
    </row>
    <row r="459" spans="1:6" x14ac:dyDescent="0.35">
      <c r="A459">
        <v>2681</v>
      </c>
      <c r="B459" s="1">
        <v>45052</v>
      </c>
      <c r="C459">
        <v>418.22</v>
      </c>
      <c r="D459" t="s">
        <v>8</v>
      </c>
      <c r="E459">
        <v>966028</v>
      </c>
      <c r="F459" t="s">
        <v>10</v>
      </c>
    </row>
    <row r="460" spans="1:6" x14ac:dyDescent="0.35">
      <c r="A460">
        <v>8201</v>
      </c>
      <c r="B460" s="1">
        <v>45052</v>
      </c>
      <c r="C460">
        <v>885.55</v>
      </c>
      <c r="D460" t="s">
        <v>6</v>
      </c>
      <c r="E460">
        <v>583757</v>
      </c>
      <c r="F460" t="s">
        <v>9</v>
      </c>
    </row>
    <row r="461" spans="1:6" x14ac:dyDescent="0.35">
      <c r="A461">
        <v>6107</v>
      </c>
      <c r="B461" s="1">
        <v>45052</v>
      </c>
      <c r="C461">
        <v>995.2</v>
      </c>
      <c r="D461" t="s">
        <v>6</v>
      </c>
      <c r="E461">
        <v>559381</v>
      </c>
      <c r="F461" t="s">
        <v>7</v>
      </c>
    </row>
    <row r="462" spans="1:6" x14ac:dyDescent="0.35">
      <c r="A462">
        <v>5512</v>
      </c>
      <c r="B462" s="1">
        <v>45052</v>
      </c>
      <c r="C462">
        <v>152.41</v>
      </c>
      <c r="D462" t="s">
        <v>13</v>
      </c>
      <c r="E462">
        <v>140666</v>
      </c>
      <c r="F462" t="s">
        <v>7</v>
      </c>
    </row>
    <row r="463" spans="1:6" x14ac:dyDescent="0.35">
      <c r="A463">
        <v>2531</v>
      </c>
      <c r="B463" s="1">
        <v>45052</v>
      </c>
      <c r="C463">
        <v>385.47</v>
      </c>
      <c r="D463" t="s">
        <v>13</v>
      </c>
      <c r="E463">
        <v>158840</v>
      </c>
      <c r="F463" t="s">
        <v>10</v>
      </c>
    </row>
    <row r="464" spans="1:6" x14ac:dyDescent="0.35">
      <c r="A464">
        <v>3662</v>
      </c>
      <c r="B464" s="1">
        <v>45052</v>
      </c>
      <c r="C464">
        <v>990.71</v>
      </c>
      <c r="D464" t="s">
        <v>6</v>
      </c>
      <c r="E464">
        <v>722565</v>
      </c>
      <c r="F464" t="s">
        <v>11</v>
      </c>
    </row>
    <row r="465" spans="1:6" x14ac:dyDescent="0.35">
      <c r="A465">
        <v>9756</v>
      </c>
      <c r="B465" s="1">
        <v>45052</v>
      </c>
      <c r="C465">
        <v>225.65</v>
      </c>
      <c r="D465" t="s">
        <v>13</v>
      </c>
      <c r="E465">
        <v>964915</v>
      </c>
      <c r="F465" t="s">
        <v>9</v>
      </c>
    </row>
    <row r="466" spans="1:6" x14ac:dyDescent="0.35">
      <c r="A466">
        <v>6172</v>
      </c>
      <c r="B466" s="1">
        <v>45053</v>
      </c>
      <c r="C466">
        <v>955.89</v>
      </c>
      <c r="D466" t="s">
        <v>8</v>
      </c>
      <c r="E466">
        <v>834861</v>
      </c>
      <c r="F466" t="s">
        <v>11</v>
      </c>
    </row>
    <row r="467" spans="1:6" x14ac:dyDescent="0.35">
      <c r="A467">
        <v>9702</v>
      </c>
      <c r="B467" s="1">
        <v>45053</v>
      </c>
      <c r="C467">
        <v>570.27</v>
      </c>
      <c r="D467" t="s">
        <v>12</v>
      </c>
      <c r="E467">
        <v>278240</v>
      </c>
      <c r="F467" t="s">
        <v>9</v>
      </c>
    </row>
    <row r="468" spans="1:6" x14ac:dyDescent="0.35">
      <c r="A468">
        <v>5521</v>
      </c>
      <c r="B468" s="1">
        <v>45053</v>
      </c>
      <c r="C468">
        <v>306.75</v>
      </c>
      <c r="D468" t="s">
        <v>8</v>
      </c>
      <c r="E468">
        <v>478666</v>
      </c>
      <c r="F468" t="s">
        <v>11</v>
      </c>
    </row>
    <row r="469" spans="1:6" x14ac:dyDescent="0.35">
      <c r="A469">
        <v>2843</v>
      </c>
      <c r="B469" s="1">
        <v>45053</v>
      </c>
      <c r="C469">
        <v>158.15</v>
      </c>
      <c r="D469" t="s">
        <v>8</v>
      </c>
      <c r="E469">
        <v>210766</v>
      </c>
      <c r="F469" t="s">
        <v>10</v>
      </c>
    </row>
    <row r="470" spans="1:6" x14ac:dyDescent="0.35">
      <c r="A470">
        <v>9871</v>
      </c>
      <c r="B470" s="1">
        <v>45053</v>
      </c>
      <c r="C470">
        <v>971</v>
      </c>
      <c r="D470" t="s">
        <v>12</v>
      </c>
      <c r="E470">
        <v>680493</v>
      </c>
      <c r="F470" t="s">
        <v>10</v>
      </c>
    </row>
    <row r="471" spans="1:6" x14ac:dyDescent="0.35">
      <c r="A471">
        <v>7793</v>
      </c>
      <c r="B471" s="1">
        <v>45053</v>
      </c>
      <c r="C471">
        <v>55.04</v>
      </c>
      <c r="D471" t="s">
        <v>6</v>
      </c>
      <c r="E471">
        <v>687638</v>
      </c>
      <c r="F471" t="s">
        <v>9</v>
      </c>
    </row>
    <row r="472" spans="1:6" x14ac:dyDescent="0.35">
      <c r="A472">
        <v>1104</v>
      </c>
      <c r="B472" s="1">
        <v>45053</v>
      </c>
      <c r="C472">
        <v>146.12</v>
      </c>
      <c r="D472" t="s">
        <v>12</v>
      </c>
      <c r="E472">
        <v>171269</v>
      </c>
      <c r="F472" t="s">
        <v>9</v>
      </c>
    </row>
    <row r="473" spans="1:6" x14ac:dyDescent="0.35">
      <c r="A473">
        <v>9908</v>
      </c>
      <c r="B473" s="1">
        <v>45053</v>
      </c>
      <c r="C473">
        <v>265.23</v>
      </c>
      <c r="D473" t="s">
        <v>8</v>
      </c>
      <c r="E473">
        <v>843596</v>
      </c>
      <c r="F473" t="s">
        <v>10</v>
      </c>
    </row>
    <row r="474" spans="1:6" x14ac:dyDescent="0.35">
      <c r="A474">
        <v>6175</v>
      </c>
      <c r="B474" s="1">
        <v>45053</v>
      </c>
      <c r="C474">
        <v>368.65</v>
      </c>
      <c r="D474" t="s">
        <v>12</v>
      </c>
      <c r="E474">
        <v>546768</v>
      </c>
      <c r="F474" t="s">
        <v>11</v>
      </c>
    </row>
    <row r="475" spans="1:6" x14ac:dyDescent="0.35">
      <c r="A475">
        <v>5933</v>
      </c>
      <c r="B475" s="1">
        <v>45053</v>
      </c>
      <c r="C475">
        <v>665.05</v>
      </c>
      <c r="D475" t="s">
        <v>6</v>
      </c>
      <c r="E475">
        <v>753050</v>
      </c>
      <c r="F475" t="s">
        <v>9</v>
      </c>
    </row>
    <row r="476" spans="1:6" x14ac:dyDescent="0.35">
      <c r="A476">
        <v>3724</v>
      </c>
      <c r="B476" s="1">
        <v>45053</v>
      </c>
      <c r="C476">
        <v>490.78</v>
      </c>
      <c r="D476" t="s">
        <v>12</v>
      </c>
      <c r="E476">
        <v>520521</v>
      </c>
      <c r="F476" t="s">
        <v>10</v>
      </c>
    </row>
    <row r="477" spans="1:6" x14ac:dyDescent="0.35">
      <c r="A477">
        <v>9553</v>
      </c>
      <c r="B477" s="1">
        <v>45053</v>
      </c>
      <c r="C477">
        <v>376.67</v>
      </c>
      <c r="D477" t="s">
        <v>8</v>
      </c>
      <c r="E477">
        <v>831531</v>
      </c>
      <c r="F477" t="s">
        <v>7</v>
      </c>
    </row>
    <row r="478" spans="1:6" x14ac:dyDescent="0.35">
      <c r="A478">
        <v>9173</v>
      </c>
      <c r="B478" s="1">
        <v>45053</v>
      </c>
      <c r="C478">
        <v>883.95</v>
      </c>
      <c r="D478" t="s">
        <v>13</v>
      </c>
      <c r="E478">
        <v>163941</v>
      </c>
      <c r="F478" t="s">
        <v>10</v>
      </c>
    </row>
    <row r="479" spans="1:6" x14ac:dyDescent="0.35">
      <c r="A479">
        <v>4743</v>
      </c>
      <c r="B479" s="1">
        <v>45053</v>
      </c>
      <c r="C479">
        <v>345.54</v>
      </c>
      <c r="D479" t="s">
        <v>13</v>
      </c>
      <c r="E479">
        <v>518098</v>
      </c>
      <c r="F479" t="s">
        <v>7</v>
      </c>
    </row>
    <row r="480" spans="1:6" x14ac:dyDescent="0.35">
      <c r="A480">
        <v>5781</v>
      </c>
      <c r="B480" s="1">
        <v>45053</v>
      </c>
      <c r="C480">
        <v>393.92</v>
      </c>
      <c r="D480" t="s">
        <v>8</v>
      </c>
      <c r="E480">
        <v>860053</v>
      </c>
      <c r="F480" t="s">
        <v>9</v>
      </c>
    </row>
    <row r="481" spans="1:6" x14ac:dyDescent="0.35">
      <c r="A481">
        <v>1715</v>
      </c>
      <c r="B481" s="1">
        <v>45053</v>
      </c>
      <c r="C481">
        <v>370.66</v>
      </c>
      <c r="D481" t="s">
        <v>12</v>
      </c>
      <c r="E481">
        <v>565776</v>
      </c>
      <c r="F481" t="s">
        <v>11</v>
      </c>
    </row>
    <row r="482" spans="1:6" x14ac:dyDescent="0.35">
      <c r="A482">
        <v>6614</v>
      </c>
      <c r="B482" s="1">
        <v>45053</v>
      </c>
      <c r="C482">
        <v>987.32</v>
      </c>
      <c r="D482" t="s">
        <v>13</v>
      </c>
      <c r="E482">
        <v>250181</v>
      </c>
      <c r="F482" t="s">
        <v>11</v>
      </c>
    </row>
    <row r="483" spans="1:6" x14ac:dyDescent="0.35">
      <c r="A483">
        <v>7821</v>
      </c>
      <c r="B483" s="1">
        <v>45053</v>
      </c>
      <c r="C483">
        <v>157.72999999999999</v>
      </c>
      <c r="D483" t="s">
        <v>13</v>
      </c>
      <c r="E483">
        <v>292811</v>
      </c>
      <c r="F483" t="s">
        <v>7</v>
      </c>
    </row>
    <row r="484" spans="1:6" x14ac:dyDescent="0.35">
      <c r="A484">
        <v>1011</v>
      </c>
      <c r="B484" s="1">
        <v>45054</v>
      </c>
      <c r="C484">
        <v>210.3</v>
      </c>
      <c r="D484" t="s">
        <v>12</v>
      </c>
      <c r="E484">
        <v>781571</v>
      </c>
      <c r="F484" t="s">
        <v>11</v>
      </c>
    </row>
    <row r="485" spans="1:6" x14ac:dyDescent="0.35">
      <c r="A485">
        <v>8616</v>
      </c>
      <c r="B485" s="1">
        <v>45054</v>
      </c>
      <c r="C485">
        <v>827.48</v>
      </c>
      <c r="D485" t="s">
        <v>6</v>
      </c>
      <c r="E485">
        <v>437960</v>
      </c>
      <c r="F485" t="s">
        <v>9</v>
      </c>
    </row>
    <row r="486" spans="1:6" x14ac:dyDescent="0.35">
      <c r="A486">
        <v>5471</v>
      </c>
      <c r="B486" s="1">
        <v>45054</v>
      </c>
      <c r="C486">
        <v>490.79</v>
      </c>
      <c r="D486" t="s">
        <v>13</v>
      </c>
      <c r="E486">
        <v>452457</v>
      </c>
      <c r="F486" t="s">
        <v>7</v>
      </c>
    </row>
    <row r="487" spans="1:6" x14ac:dyDescent="0.35">
      <c r="A487">
        <v>7286</v>
      </c>
      <c r="B487" s="1">
        <v>45054</v>
      </c>
      <c r="C487">
        <v>193.9</v>
      </c>
      <c r="D487" t="s">
        <v>12</v>
      </c>
      <c r="E487">
        <v>681868</v>
      </c>
      <c r="F487" t="s">
        <v>9</v>
      </c>
    </row>
    <row r="488" spans="1:6" x14ac:dyDescent="0.35">
      <c r="A488">
        <v>3114</v>
      </c>
      <c r="B488" s="1">
        <v>45054</v>
      </c>
      <c r="C488">
        <v>507.84</v>
      </c>
      <c r="D488" t="s">
        <v>8</v>
      </c>
      <c r="E488">
        <v>971776</v>
      </c>
      <c r="F488" t="s">
        <v>10</v>
      </c>
    </row>
    <row r="489" spans="1:6" x14ac:dyDescent="0.35">
      <c r="A489">
        <v>5673</v>
      </c>
      <c r="B489" s="1">
        <v>45054</v>
      </c>
      <c r="C489">
        <v>699.63</v>
      </c>
      <c r="D489" t="s">
        <v>13</v>
      </c>
      <c r="E489">
        <v>262316</v>
      </c>
      <c r="F489" t="s">
        <v>9</v>
      </c>
    </row>
    <row r="490" spans="1:6" x14ac:dyDescent="0.35">
      <c r="A490">
        <v>2761</v>
      </c>
      <c r="B490" s="1">
        <v>45054</v>
      </c>
      <c r="C490">
        <v>142.6</v>
      </c>
      <c r="D490" t="s">
        <v>6</v>
      </c>
      <c r="E490">
        <v>862847</v>
      </c>
      <c r="F490" t="s">
        <v>11</v>
      </c>
    </row>
    <row r="491" spans="1:6" x14ac:dyDescent="0.35">
      <c r="A491">
        <v>2443</v>
      </c>
      <c r="B491" s="1">
        <v>45054</v>
      </c>
      <c r="C491">
        <v>846.04</v>
      </c>
      <c r="D491" t="s">
        <v>12</v>
      </c>
      <c r="E491">
        <v>556839</v>
      </c>
      <c r="F491" t="s">
        <v>7</v>
      </c>
    </row>
    <row r="492" spans="1:6" x14ac:dyDescent="0.35">
      <c r="A492">
        <v>6967</v>
      </c>
      <c r="B492" s="1">
        <v>45054</v>
      </c>
      <c r="C492">
        <v>79.27</v>
      </c>
      <c r="D492" t="s">
        <v>6</v>
      </c>
      <c r="E492">
        <v>753425</v>
      </c>
      <c r="F492" t="s">
        <v>11</v>
      </c>
    </row>
    <row r="493" spans="1:6" x14ac:dyDescent="0.35">
      <c r="A493">
        <v>3502</v>
      </c>
      <c r="B493" s="1">
        <v>45054</v>
      </c>
      <c r="C493">
        <v>970.83</v>
      </c>
      <c r="D493" t="s">
        <v>6</v>
      </c>
      <c r="E493">
        <v>570988</v>
      </c>
      <c r="F493" t="s">
        <v>9</v>
      </c>
    </row>
    <row r="494" spans="1:6" x14ac:dyDescent="0.35">
      <c r="A494">
        <v>1507</v>
      </c>
      <c r="B494" s="1">
        <v>45054</v>
      </c>
      <c r="C494">
        <v>943.02</v>
      </c>
      <c r="D494" t="s">
        <v>12</v>
      </c>
      <c r="E494">
        <v>736818</v>
      </c>
      <c r="F494" t="s">
        <v>7</v>
      </c>
    </row>
    <row r="495" spans="1:6" x14ac:dyDescent="0.35">
      <c r="A495">
        <v>5511</v>
      </c>
      <c r="B495" s="1">
        <v>45054</v>
      </c>
      <c r="C495">
        <v>896.53</v>
      </c>
      <c r="D495" t="s">
        <v>6</v>
      </c>
      <c r="E495">
        <v>581294</v>
      </c>
      <c r="F495" t="s">
        <v>11</v>
      </c>
    </row>
    <row r="496" spans="1:6" x14ac:dyDescent="0.35">
      <c r="A496">
        <v>5970</v>
      </c>
      <c r="B496" s="1">
        <v>45055</v>
      </c>
      <c r="C496">
        <v>748.15</v>
      </c>
      <c r="D496" t="s">
        <v>6</v>
      </c>
      <c r="E496">
        <v>259338</v>
      </c>
      <c r="F496" t="s">
        <v>9</v>
      </c>
    </row>
    <row r="497" spans="1:6" x14ac:dyDescent="0.35">
      <c r="A497">
        <v>9535</v>
      </c>
      <c r="B497" s="1">
        <v>45055</v>
      </c>
      <c r="C497">
        <v>419.85</v>
      </c>
      <c r="D497" t="s">
        <v>12</v>
      </c>
      <c r="E497">
        <v>995706</v>
      </c>
      <c r="F497" t="s">
        <v>10</v>
      </c>
    </row>
    <row r="498" spans="1:6" x14ac:dyDescent="0.35">
      <c r="A498">
        <v>5469</v>
      </c>
      <c r="B498" s="1">
        <v>45055</v>
      </c>
      <c r="C498">
        <v>906.25</v>
      </c>
      <c r="D498" t="s">
        <v>12</v>
      </c>
      <c r="E498">
        <v>971415</v>
      </c>
      <c r="F498" t="s">
        <v>7</v>
      </c>
    </row>
    <row r="499" spans="1:6" x14ac:dyDescent="0.35">
      <c r="A499">
        <v>8685</v>
      </c>
      <c r="B499" s="1">
        <v>45055</v>
      </c>
      <c r="C499">
        <v>619.19000000000005</v>
      </c>
      <c r="D499" t="s">
        <v>8</v>
      </c>
      <c r="E499">
        <v>119927</v>
      </c>
      <c r="F499" t="s">
        <v>11</v>
      </c>
    </row>
    <row r="500" spans="1:6" x14ac:dyDescent="0.35">
      <c r="A500">
        <v>5819</v>
      </c>
      <c r="B500" s="1">
        <v>45055</v>
      </c>
      <c r="C500">
        <v>185.65</v>
      </c>
      <c r="D500" t="s">
        <v>8</v>
      </c>
      <c r="E500">
        <v>296059</v>
      </c>
      <c r="F500" t="s">
        <v>9</v>
      </c>
    </row>
    <row r="501" spans="1:6" x14ac:dyDescent="0.35">
      <c r="A501">
        <v>5719</v>
      </c>
      <c r="B501" s="1">
        <v>45055</v>
      </c>
      <c r="C501">
        <v>882.04</v>
      </c>
      <c r="D501" t="s">
        <v>13</v>
      </c>
      <c r="E501">
        <v>227324</v>
      </c>
      <c r="F501" t="s">
        <v>10</v>
      </c>
    </row>
    <row r="502" spans="1:6" x14ac:dyDescent="0.35">
      <c r="A502">
        <v>7693</v>
      </c>
      <c r="B502" s="1">
        <v>45055</v>
      </c>
      <c r="C502">
        <v>692.48</v>
      </c>
      <c r="D502" t="s">
        <v>13</v>
      </c>
      <c r="E502">
        <v>405407</v>
      </c>
      <c r="F502" t="s">
        <v>10</v>
      </c>
    </row>
    <row r="503" spans="1:6" x14ac:dyDescent="0.35">
      <c r="A503">
        <v>4401</v>
      </c>
      <c r="B503" s="1">
        <v>45055</v>
      </c>
      <c r="C503">
        <v>315.22000000000003</v>
      </c>
      <c r="D503" t="s">
        <v>6</v>
      </c>
      <c r="E503">
        <v>993892</v>
      </c>
      <c r="F503" t="s">
        <v>10</v>
      </c>
    </row>
    <row r="504" spans="1:6" x14ac:dyDescent="0.35">
      <c r="A504">
        <v>6299</v>
      </c>
      <c r="B504" s="1">
        <v>45055</v>
      </c>
      <c r="C504">
        <v>34.659999999999997</v>
      </c>
      <c r="D504" t="s">
        <v>13</v>
      </c>
      <c r="E504">
        <v>718990</v>
      </c>
      <c r="F504" t="s">
        <v>9</v>
      </c>
    </row>
    <row r="505" spans="1:6" x14ac:dyDescent="0.35">
      <c r="A505">
        <v>3693</v>
      </c>
      <c r="B505" s="1">
        <v>45055</v>
      </c>
      <c r="C505">
        <v>471.39</v>
      </c>
      <c r="D505" t="s">
        <v>13</v>
      </c>
      <c r="E505">
        <v>226601</v>
      </c>
      <c r="F505" t="s">
        <v>11</v>
      </c>
    </row>
    <row r="506" spans="1:6" x14ac:dyDescent="0.35">
      <c r="A506">
        <v>4232</v>
      </c>
      <c r="B506" s="1">
        <v>45055</v>
      </c>
      <c r="C506">
        <v>596.28</v>
      </c>
      <c r="D506" t="s">
        <v>13</v>
      </c>
      <c r="E506">
        <v>104666</v>
      </c>
      <c r="F506" t="s">
        <v>9</v>
      </c>
    </row>
    <row r="507" spans="1:6" x14ac:dyDescent="0.35">
      <c r="A507">
        <v>6399</v>
      </c>
      <c r="B507" s="1">
        <v>45055</v>
      </c>
      <c r="C507">
        <v>341.39</v>
      </c>
      <c r="D507" t="s">
        <v>12</v>
      </c>
      <c r="E507">
        <v>415029</v>
      </c>
      <c r="F507" t="s">
        <v>11</v>
      </c>
    </row>
    <row r="508" spans="1:6" x14ac:dyDescent="0.35">
      <c r="A508">
        <v>8061</v>
      </c>
      <c r="B508" s="1">
        <v>45055</v>
      </c>
      <c r="C508">
        <v>561.41999999999996</v>
      </c>
      <c r="D508" t="s">
        <v>13</v>
      </c>
      <c r="E508">
        <v>208310</v>
      </c>
      <c r="F508" t="s">
        <v>10</v>
      </c>
    </row>
    <row r="509" spans="1:6" x14ac:dyDescent="0.35">
      <c r="A509">
        <v>6898</v>
      </c>
      <c r="B509" s="1">
        <v>45055</v>
      </c>
      <c r="C509">
        <v>453.02</v>
      </c>
      <c r="D509" t="s">
        <v>13</v>
      </c>
      <c r="E509">
        <v>100205</v>
      </c>
      <c r="F509" t="s">
        <v>10</v>
      </c>
    </row>
    <row r="510" spans="1:6" x14ac:dyDescent="0.35">
      <c r="A510">
        <v>4858</v>
      </c>
      <c r="B510" s="1">
        <v>45055</v>
      </c>
      <c r="C510">
        <v>756.22</v>
      </c>
      <c r="D510" t="s">
        <v>6</v>
      </c>
      <c r="E510">
        <v>416613</v>
      </c>
      <c r="F510" t="s">
        <v>10</v>
      </c>
    </row>
    <row r="511" spans="1:6" x14ac:dyDescent="0.35">
      <c r="A511">
        <v>5499</v>
      </c>
      <c r="B511" s="1">
        <v>45055</v>
      </c>
      <c r="C511">
        <v>86.71</v>
      </c>
      <c r="D511" t="s">
        <v>6</v>
      </c>
      <c r="E511">
        <v>345884</v>
      </c>
      <c r="F511" t="s">
        <v>11</v>
      </c>
    </row>
    <row r="512" spans="1:6" x14ac:dyDescent="0.35">
      <c r="A512">
        <v>7146</v>
      </c>
      <c r="B512" s="1">
        <v>45055</v>
      </c>
      <c r="C512">
        <v>84.76</v>
      </c>
      <c r="D512" t="s">
        <v>8</v>
      </c>
      <c r="E512">
        <v>522419</v>
      </c>
      <c r="F512" t="s">
        <v>11</v>
      </c>
    </row>
    <row r="513" spans="1:6" x14ac:dyDescent="0.35">
      <c r="A513">
        <v>9514</v>
      </c>
      <c r="B513" s="1">
        <v>45056</v>
      </c>
      <c r="C513">
        <v>917.99</v>
      </c>
      <c r="D513" t="s">
        <v>8</v>
      </c>
      <c r="E513">
        <v>924758</v>
      </c>
      <c r="F513" t="s">
        <v>7</v>
      </c>
    </row>
    <row r="514" spans="1:6" x14ac:dyDescent="0.35">
      <c r="A514">
        <v>1200</v>
      </c>
      <c r="B514" s="1">
        <v>45056</v>
      </c>
      <c r="C514">
        <v>502.65</v>
      </c>
      <c r="D514" t="s">
        <v>13</v>
      </c>
      <c r="E514">
        <v>669902</v>
      </c>
      <c r="F514" t="s">
        <v>10</v>
      </c>
    </row>
    <row r="515" spans="1:6" x14ac:dyDescent="0.35">
      <c r="A515">
        <v>3906</v>
      </c>
      <c r="B515" s="1">
        <v>45056</v>
      </c>
      <c r="C515">
        <v>751.84</v>
      </c>
      <c r="D515" t="s">
        <v>6</v>
      </c>
      <c r="E515">
        <v>137581</v>
      </c>
      <c r="F515" t="s">
        <v>10</v>
      </c>
    </row>
    <row r="516" spans="1:6" x14ac:dyDescent="0.35">
      <c r="A516">
        <v>4575</v>
      </c>
      <c r="B516" s="1">
        <v>45056</v>
      </c>
      <c r="C516">
        <v>309.12</v>
      </c>
      <c r="D516" t="s">
        <v>13</v>
      </c>
      <c r="E516">
        <v>712879</v>
      </c>
      <c r="F516" t="s">
        <v>10</v>
      </c>
    </row>
    <row r="517" spans="1:6" x14ac:dyDescent="0.35">
      <c r="A517">
        <v>4974</v>
      </c>
      <c r="B517" s="1">
        <v>45056</v>
      </c>
      <c r="C517">
        <v>374.59</v>
      </c>
      <c r="D517" t="s">
        <v>13</v>
      </c>
      <c r="E517">
        <v>910143</v>
      </c>
      <c r="F517" t="s">
        <v>9</v>
      </c>
    </row>
    <row r="518" spans="1:6" x14ac:dyDescent="0.35">
      <c r="A518">
        <v>8863</v>
      </c>
      <c r="B518" s="1">
        <v>45056</v>
      </c>
      <c r="C518">
        <v>450.9</v>
      </c>
      <c r="D518" t="s">
        <v>6</v>
      </c>
      <c r="E518">
        <v>610626</v>
      </c>
      <c r="F518" t="s">
        <v>10</v>
      </c>
    </row>
    <row r="519" spans="1:6" x14ac:dyDescent="0.35">
      <c r="A519">
        <v>2291</v>
      </c>
      <c r="B519" s="1">
        <v>45056</v>
      </c>
      <c r="C519">
        <v>449.75</v>
      </c>
      <c r="D519" t="s">
        <v>13</v>
      </c>
      <c r="E519">
        <v>192295</v>
      </c>
      <c r="F519" t="s">
        <v>7</v>
      </c>
    </row>
    <row r="520" spans="1:6" x14ac:dyDescent="0.35">
      <c r="A520">
        <v>8399</v>
      </c>
      <c r="B520" s="1">
        <v>45056</v>
      </c>
      <c r="C520">
        <v>828.74</v>
      </c>
      <c r="D520" t="s">
        <v>8</v>
      </c>
      <c r="E520">
        <v>357657</v>
      </c>
      <c r="F520" t="s">
        <v>7</v>
      </c>
    </row>
    <row r="521" spans="1:6" x14ac:dyDescent="0.35">
      <c r="A521">
        <v>5694</v>
      </c>
      <c r="B521" s="1">
        <v>45056</v>
      </c>
      <c r="C521">
        <v>635.4</v>
      </c>
      <c r="D521" t="s">
        <v>12</v>
      </c>
      <c r="E521">
        <v>275715</v>
      </c>
      <c r="F521" t="s">
        <v>11</v>
      </c>
    </row>
    <row r="522" spans="1:6" x14ac:dyDescent="0.35">
      <c r="A522">
        <v>2551</v>
      </c>
      <c r="B522" s="1">
        <v>45056</v>
      </c>
      <c r="C522">
        <v>110.89</v>
      </c>
      <c r="D522" t="s">
        <v>12</v>
      </c>
      <c r="E522">
        <v>227352</v>
      </c>
      <c r="F522" t="s">
        <v>10</v>
      </c>
    </row>
    <row r="523" spans="1:6" x14ac:dyDescent="0.35">
      <c r="A523">
        <v>7557</v>
      </c>
      <c r="B523" s="1">
        <v>45056</v>
      </c>
      <c r="C523">
        <v>279.11</v>
      </c>
      <c r="D523" t="s">
        <v>13</v>
      </c>
      <c r="E523">
        <v>823415</v>
      </c>
      <c r="F523" t="s">
        <v>7</v>
      </c>
    </row>
    <row r="524" spans="1:6" x14ac:dyDescent="0.35">
      <c r="A524">
        <v>1392</v>
      </c>
      <c r="B524" s="1">
        <v>45056</v>
      </c>
      <c r="C524">
        <v>629.21</v>
      </c>
      <c r="D524" t="s">
        <v>8</v>
      </c>
      <c r="E524">
        <v>873291</v>
      </c>
      <c r="F524" t="s">
        <v>9</v>
      </c>
    </row>
    <row r="525" spans="1:6" x14ac:dyDescent="0.35">
      <c r="A525">
        <v>4532</v>
      </c>
      <c r="B525" s="1">
        <v>45056</v>
      </c>
      <c r="C525">
        <v>826.31</v>
      </c>
      <c r="D525" t="s">
        <v>12</v>
      </c>
      <c r="E525">
        <v>851606</v>
      </c>
      <c r="F525" t="s">
        <v>11</v>
      </c>
    </row>
    <row r="526" spans="1:6" x14ac:dyDescent="0.35">
      <c r="A526">
        <v>2310</v>
      </c>
      <c r="B526" s="1">
        <v>45056</v>
      </c>
      <c r="C526">
        <v>803.01</v>
      </c>
      <c r="D526" t="s">
        <v>8</v>
      </c>
      <c r="E526">
        <v>478458</v>
      </c>
      <c r="F526" t="s">
        <v>7</v>
      </c>
    </row>
    <row r="527" spans="1:6" x14ac:dyDescent="0.35">
      <c r="A527">
        <v>7046</v>
      </c>
      <c r="B527" s="1">
        <v>45056</v>
      </c>
      <c r="C527">
        <v>950.75</v>
      </c>
      <c r="D527" t="s">
        <v>6</v>
      </c>
      <c r="E527">
        <v>710224</v>
      </c>
      <c r="F527" t="s">
        <v>10</v>
      </c>
    </row>
    <row r="528" spans="1:6" x14ac:dyDescent="0.35">
      <c r="A528">
        <v>7408</v>
      </c>
      <c r="B528" s="1">
        <v>45056</v>
      </c>
      <c r="C528">
        <v>774.62</v>
      </c>
      <c r="D528" t="s">
        <v>12</v>
      </c>
      <c r="E528">
        <v>461724</v>
      </c>
      <c r="F528" t="s">
        <v>10</v>
      </c>
    </row>
    <row r="529" spans="1:6" x14ac:dyDescent="0.35">
      <c r="A529">
        <v>1601</v>
      </c>
      <c r="B529" s="1">
        <v>45056</v>
      </c>
      <c r="C529">
        <v>97.18</v>
      </c>
      <c r="D529" t="s">
        <v>6</v>
      </c>
      <c r="E529">
        <v>438977</v>
      </c>
      <c r="F529" t="s">
        <v>10</v>
      </c>
    </row>
    <row r="530" spans="1:6" x14ac:dyDescent="0.35">
      <c r="A530">
        <v>8372</v>
      </c>
      <c r="B530" s="1">
        <v>45056</v>
      </c>
      <c r="C530">
        <v>683.31</v>
      </c>
      <c r="D530" t="s">
        <v>6</v>
      </c>
      <c r="E530">
        <v>234568</v>
      </c>
      <c r="F530" t="s">
        <v>9</v>
      </c>
    </row>
    <row r="531" spans="1:6" x14ac:dyDescent="0.35">
      <c r="A531">
        <v>2988</v>
      </c>
      <c r="B531" s="1">
        <v>45056</v>
      </c>
      <c r="C531">
        <v>142.01</v>
      </c>
      <c r="D531" t="s">
        <v>13</v>
      </c>
      <c r="E531">
        <v>800005</v>
      </c>
      <c r="F531" t="s">
        <v>11</v>
      </c>
    </row>
    <row r="532" spans="1:6" x14ac:dyDescent="0.35">
      <c r="A532">
        <v>3509</v>
      </c>
      <c r="B532" s="1">
        <v>45056</v>
      </c>
      <c r="C532">
        <v>750.26</v>
      </c>
      <c r="D532" t="s">
        <v>6</v>
      </c>
      <c r="E532">
        <v>536045</v>
      </c>
      <c r="F532" t="s">
        <v>7</v>
      </c>
    </row>
    <row r="533" spans="1:6" x14ac:dyDescent="0.35">
      <c r="A533">
        <v>7735</v>
      </c>
      <c r="B533" s="1">
        <v>45056</v>
      </c>
      <c r="C533">
        <v>865.2</v>
      </c>
      <c r="D533" t="s">
        <v>8</v>
      </c>
      <c r="E533">
        <v>806073</v>
      </c>
      <c r="F533" t="s">
        <v>10</v>
      </c>
    </row>
    <row r="534" spans="1:6" x14ac:dyDescent="0.35">
      <c r="A534">
        <v>4804</v>
      </c>
      <c r="B534" s="1">
        <v>45056</v>
      </c>
      <c r="C534">
        <v>641.53</v>
      </c>
      <c r="D534" t="s">
        <v>13</v>
      </c>
      <c r="E534">
        <v>367729</v>
      </c>
      <c r="F534" t="s">
        <v>10</v>
      </c>
    </row>
    <row r="535" spans="1:6" x14ac:dyDescent="0.35">
      <c r="A535">
        <v>9508</v>
      </c>
      <c r="B535" s="1">
        <v>45056</v>
      </c>
      <c r="C535">
        <v>157.44999999999999</v>
      </c>
      <c r="D535" t="s">
        <v>12</v>
      </c>
      <c r="E535">
        <v>443897</v>
      </c>
      <c r="F535" t="s">
        <v>11</v>
      </c>
    </row>
    <row r="536" spans="1:6" x14ac:dyDescent="0.35">
      <c r="A536">
        <v>5150</v>
      </c>
      <c r="B536" s="1">
        <v>45057</v>
      </c>
      <c r="C536">
        <v>642.13</v>
      </c>
      <c r="D536" t="s">
        <v>12</v>
      </c>
      <c r="E536">
        <v>477934</v>
      </c>
      <c r="F536" t="s">
        <v>10</v>
      </c>
    </row>
    <row r="537" spans="1:6" x14ac:dyDescent="0.35">
      <c r="A537">
        <v>2494</v>
      </c>
      <c r="B537" s="1">
        <v>45057</v>
      </c>
      <c r="C537">
        <v>354.48</v>
      </c>
      <c r="D537" t="s">
        <v>6</v>
      </c>
      <c r="E537">
        <v>436653</v>
      </c>
      <c r="F537" t="s">
        <v>10</v>
      </c>
    </row>
    <row r="538" spans="1:6" x14ac:dyDescent="0.35">
      <c r="A538">
        <v>5949</v>
      </c>
      <c r="B538" s="1">
        <v>45057</v>
      </c>
      <c r="C538">
        <v>252.43</v>
      </c>
      <c r="D538" t="s">
        <v>13</v>
      </c>
      <c r="E538">
        <v>411882</v>
      </c>
      <c r="F538" t="s">
        <v>7</v>
      </c>
    </row>
    <row r="539" spans="1:6" x14ac:dyDescent="0.35">
      <c r="A539">
        <v>3140</v>
      </c>
      <c r="B539" s="1">
        <v>45057</v>
      </c>
      <c r="C539">
        <v>921.19</v>
      </c>
      <c r="D539" t="s">
        <v>8</v>
      </c>
      <c r="E539">
        <v>531262</v>
      </c>
      <c r="F539" t="s">
        <v>7</v>
      </c>
    </row>
    <row r="540" spans="1:6" x14ac:dyDescent="0.35">
      <c r="A540">
        <v>9824</v>
      </c>
      <c r="B540" s="1">
        <v>45057</v>
      </c>
      <c r="C540">
        <v>351.67</v>
      </c>
      <c r="D540" t="s">
        <v>13</v>
      </c>
      <c r="E540">
        <v>577463</v>
      </c>
      <c r="F540" t="s">
        <v>11</v>
      </c>
    </row>
    <row r="541" spans="1:6" x14ac:dyDescent="0.35">
      <c r="A541">
        <v>5011</v>
      </c>
      <c r="B541" s="1">
        <v>45057</v>
      </c>
      <c r="C541">
        <v>615.16</v>
      </c>
      <c r="D541" t="s">
        <v>8</v>
      </c>
      <c r="E541">
        <v>577538</v>
      </c>
      <c r="F541" t="s">
        <v>7</v>
      </c>
    </row>
    <row r="542" spans="1:6" x14ac:dyDescent="0.35">
      <c r="A542">
        <v>4290</v>
      </c>
      <c r="B542" s="1">
        <v>45057</v>
      </c>
      <c r="C542">
        <v>321.04000000000002</v>
      </c>
      <c r="D542" t="s">
        <v>13</v>
      </c>
      <c r="E542">
        <v>434640</v>
      </c>
      <c r="F542" t="s">
        <v>11</v>
      </c>
    </row>
    <row r="543" spans="1:6" x14ac:dyDescent="0.35">
      <c r="A543">
        <v>3450</v>
      </c>
      <c r="B543" s="1">
        <v>45057</v>
      </c>
      <c r="C543">
        <v>807.61</v>
      </c>
      <c r="D543" t="s">
        <v>12</v>
      </c>
      <c r="E543">
        <v>541996</v>
      </c>
      <c r="F543" t="s">
        <v>7</v>
      </c>
    </row>
    <row r="544" spans="1:6" x14ac:dyDescent="0.35">
      <c r="A544">
        <v>9991</v>
      </c>
      <c r="B544" s="1">
        <v>45057</v>
      </c>
      <c r="C544">
        <v>626.80999999999995</v>
      </c>
      <c r="D544" t="s">
        <v>12</v>
      </c>
      <c r="E544">
        <v>828834</v>
      </c>
      <c r="F544" t="s">
        <v>10</v>
      </c>
    </row>
    <row r="545" spans="1:6" x14ac:dyDescent="0.35">
      <c r="A545">
        <v>2118</v>
      </c>
      <c r="B545" s="1">
        <v>45057</v>
      </c>
      <c r="C545">
        <v>447.79</v>
      </c>
      <c r="D545" t="s">
        <v>6</v>
      </c>
      <c r="E545">
        <v>935012</v>
      </c>
      <c r="F545" t="s">
        <v>11</v>
      </c>
    </row>
    <row r="546" spans="1:6" x14ac:dyDescent="0.35">
      <c r="A546">
        <v>2526</v>
      </c>
      <c r="B546" s="1">
        <v>45057</v>
      </c>
      <c r="C546">
        <v>662.8</v>
      </c>
      <c r="D546" t="s">
        <v>8</v>
      </c>
      <c r="E546">
        <v>912510</v>
      </c>
      <c r="F546" t="s">
        <v>7</v>
      </c>
    </row>
    <row r="547" spans="1:6" x14ac:dyDescent="0.35">
      <c r="A547">
        <v>4555</v>
      </c>
      <c r="B547" s="1">
        <v>45057</v>
      </c>
      <c r="C547">
        <v>216.8</v>
      </c>
      <c r="D547" t="s">
        <v>6</v>
      </c>
      <c r="E547">
        <v>417915</v>
      </c>
      <c r="F547" t="s">
        <v>10</v>
      </c>
    </row>
    <row r="548" spans="1:6" x14ac:dyDescent="0.35">
      <c r="A548">
        <v>2041</v>
      </c>
      <c r="B548" s="1">
        <v>45057</v>
      </c>
      <c r="C548">
        <v>453.79</v>
      </c>
      <c r="D548" t="s">
        <v>6</v>
      </c>
      <c r="E548">
        <v>638169</v>
      </c>
      <c r="F548" t="s">
        <v>10</v>
      </c>
    </row>
    <row r="549" spans="1:6" x14ac:dyDescent="0.35">
      <c r="A549">
        <v>1504</v>
      </c>
      <c r="B549" s="1">
        <v>45057</v>
      </c>
      <c r="C549">
        <v>164.76</v>
      </c>
      <c r="D549" t="s">
        <v>12</v>
      </c>
      <c r="E549">
        <v>243006</v>
      </c>
      <c r="F549" t="s">
        <v>7</v>
      </c>
    </row>
    <row r="550" spans="1:6" x14ac:dyDescent="0.35">
      <c r="A550">
        <v>2342</v>
      </c>
      <c r="B550" s="1">
        <v>45057</v>
      </c>
      <c r="C550">
        <v>845.33</v>
      </c>
      <c r="D550" t="s">
        <v>6</v>
      </c>
      <c r="E550">
        <v>923002</v>
      </c>
      <c r="F550" t="s">
        <v>7</v>
      </c>
    </row>
    <row r="551" spans="1:6" x14ac:dyDescent="0.35">
      <c r="A551">
        <v>6706</v>
      </c>
      <c r="B551" s="1">
        <v>45057</v>
      </c>
      <c r="C551">
        <v>106.65</v>
      </c>
      <c r="D551" t="s">
        <v>13</v>
      </c>
      <c r="E551">
        <v>434400</v>
      </c>
      <c r="F551" t="s">
        <v>10</v>
      </c>
    </row>
    <row r="552" spans="1:6" x14ac:dyDescent="0.35">
      <c r="A552">
        <v>7358</v>
      </c>
      <c r="B552" s="1">
        <v>45057</v>
      </c>
      <c r="C552">
        <v>918.72</v>
      </c>
      <c r="D552" t="s">
        <v>8</v>
      </c>
      <c r="E552">
        <v>141843</v>
      </c>
      <c r="F552" t="s">
        <v>11</v>
      </c>
    </row>
    <row r="553" spans="1:6" x14ac:dyDescent="0.35">
      <c r="A553">
        <v>9363</v>
      </c>
      <c r="B553" s="1">
        <v>45058</v>
      </c>
      <c r="C553">
        <v>777</v>
      </c>
      <c r="D553" t="s">
        <v>13</v>
      </c>
      <c r="E553">
        <v>182216</v>
      </c>
      <c r="F553" t="s">
        <v>7</v>
      </c>
    </row>
    <row r="554" spans="1:6" x14ac:dyDescent="0.35">
      <c r="A554">
        <v>8715</v>
      </c>
      <c r="B554" s="1">
        <v>45058</v>
      </c>
      <c r="C554">
        <v>895.93</v>
      </c>
      <c r="D554" t="s">
        <v>6</v>
      </c>
      <c r="E554">
        <v>195563</v>
      </c>
      <c r="F554" t="s">
        <v>7</v>
      </c>
    </row>
    <row r="555" spans="1:6" x14ac:dyDescent="0.35">
      <c r="A555">
        <v>3832</v>
      </c>
      <c r="B555" s="1">
        <v>45058</v>
      </c>
      <c r="C555">
        <v>827.45</v>
      </c>
      <c r="D555" t="s">
        <v>8</v>
      </c>
      <c r="E555">
        <v>724145</v>
      </c>
      <c r="F555" t="s">
        <v>11</v>
      </c>
    </row>
    <row r="556" spans="1:6" x14ac:dyDescent="0.35">
      <c r="A556">
        <v>2741</v>
      </c>
      <c r="B556" s="1">
        <v>45058</v>
      </c>
      <c r="C556">
        <v>206.66</v>
      </c>
      <c r="D556" t="s">
        <v>12</v>
      </c>
      <c r="E556">
        <v>915749</v>
      </c>
      <c r="F556" t="s">
        <v>11</v>
      </c>
    </row>
    <row r="557" spans="1:6" x14ac:dyDescent="0.35">
      <c r="A557">
        <v>4048</v>
      </c>
      <c r="B557" s="1">
        <v>45058</v>
      </c>
      <c r="C557">
        <v>522.57000000000005</v>
      </c>
      <c r="D557" t="s">
        <v>8</v>
      </c>
      <c r="E557">
        <v>374492</v>
      </c>
      <c r="F557" t="s">
        <v>11</v>
      </c>
    </row>
    <row r="558" spans="1:6" x14ac:dyDescent="0.35">
      <c r="A558">
        <v>7434</v>
      </c>
      <c r="B558" s="1">
        <v>45058</v>
      </c>
      <c r="C558">
        <v>150.75</v>
      </c>
      <c r="D558" t="s">
        <v>6</v>
      </c>
      <c r="E558">
        <v>758309</v>
      </c>
      <c r="F558" t="s">
        <v>7</v>
      </c>
    </row>
    <row r="559" spans="1:6" x14ac:dyDescent="0.35">
      <c r="A559">
        <v>3522</v>
      </c>
      <c r="B559" s="1">
        <v>45058</v>
      </c>
      <c r="C559">
        <v>933.33</v>
      </c>
      <c r="D559" t="s">
        <v>6</v>
      </c>
      <c r="E559">
        <v>633590</v>
      </c>
      <c r="F559" t="s">
        <v>11</v>
      </c>
    </row>
    <row r="560" spans="1:6" x14ac:dyDescent="0.35">
      <c r="A560">
        <v>1108</v>
      </c>
      <c r="B560" s="1">
        <v>45059</v>
      </c>
      <c r="C560">
        <v>883.21</v>
      </c>
      <c r="D560" t="s">
        <v>13</v>
      </c>
      <c r="E560">
        <v>273650</v>
      </c>
      <c r="F560" t="s">
        <v>9</v>
      </c>
    </row>
    <row r="561" spans="1:6" x14ac:dyDescent="0.35">
      <c r="A561">
        <v>7256</v>
      </c>
      <c r="B561" s="1">
        <v>45059</v>
      </c>
      <c r="C561">
        <v>532.19000000000005</v>
      </c>
      <c r="D561" t="s">
        <v>12</v>
      </c>
      <c r="E561">
        <v>956572</v>
      </c>
      <c r="F561" t="s">
        <v>9</v>
      </c>
    </row>
    <row r="562" spans="1:6" x14ac:dyDescent="0.35">
      <c r="A562">
        <v>9210</v>
      </c>
      <c r="B562" s="1">
        <v>45059</v>
      </c>
      <c r="C562">
        <v>99.65</v>
      </c>
      <c r="D562" t="s">
        <v>6</v>
      </c>
      <c r="E562">
        <v>626560</v>
      </c>
      <c r="F562" t="s">
        <v>10</v>
      </c>
    </row>
    <row r="563" spans="1:6" x14ac:dyDescent="0.35">
      <c r="A563">
        <v>8405</v>
      </c>
      <c r="B563" s="1">
        <v>45059</v>
      </c>
      <c r="C563">
        <v>229.33</v>
      </c>
      <c r="D563" t="s">
        <v>8</v>
      </c>
      <c r="E563">
        <v>862569</v>
      </c>
      <c r="F563" t="s">
        <v>11</v>
      </c>
    </row>
    <row r="564" spans="1:6" x14ac:dyDescent="0.35">
      <c r="A564">
        <v>5460</v>
      </c>
      <c r="B564" s="1">
        <v>45059</v>
      </c>
      <c r="C564">
        <v>544.58000000000004</v>
      </c>
      <c r="D564" t="s">
        <v>13</v>
      </c>
      <c r="E564">
        <v>184349</v>
      </c>
      <c r="F564" t="s">
        <v>10</v>
      </c>
    </row>
    <row r="565" spans="1:6" x14ac:dyDescent="0.35">
      <c r="A565">
        <v>4637</v>
      </c>
      <c r="B565" s="1">
        <v>45059</v>
      </c>
      <c r="C565">
        <v>749.38</v>
      </c>
      <c r="D565" t="s">
        <v>12</v>
      </c>
      <c r="E565">
        <v>567432</v>
      </c>
      <c r="F565" t="s">
        <v>11</v>
      </c>
    </row>
    <row r="566" spans="1:6" x14ac:dyDescent="0.35">
      <c r="A566">
        <v>2263</v>
      </c>
      <c r="B566" s="1">
        <v>45059</v>
      </c>
      <c r="C566">
        <v>647.04</v>
      </c>
      <c r="D566" t="s">
        <v>12</v>
      </c>
      <c r="E566">
        <v>257538</v>
      </c>
      <c r="F566" t="s">
        <v>9</v>
      </c>
    </row>
    <row r="567" spans="1:6" x14ac:dyDescent="0.35">
      <c r="A567">
        <v>7670</v>
      </c>
      <c r="B567" s="1">
        <v>45059</v>
      </c>
      <c r="C567">
        <v>115.4</v>
      </c>
      <c r="D567" t="s">
        <v>8</v>
      </c>
      <c r="E567">
        <v>627611</v>
      </c>
      <c r="F567" t="s">
        <v>11</v>
      </c>
    </row>
    <row r="568" spans="1:6" x14ac:dyDescent="0.35">
      <c r="A568">
        <v>9693</v>
      </c>
      <c r="B568" s="1">
        <v>45059</v>
      </c>
      <c r="C568">
        <v>201.96</v>
      </c>
      <c r="D568" t="s">
        <v>6</v>
      </c>
      <c r="E568">
        <v>468154</v>
      </c>
      <c r="F568" t="s">
        <v>9</v>
      </c>
    </row>
    <row r="569" spans="1:6" x14ac:dyDescent="0.35">
      <c r="A569">
        <v>1120</v>
      </c>
      <c r="B569" s="1">
        <v>45059</v>
      </c>
      <c r="C569">
        <v>999.44</v>
      </c>
      <c r="D569" t="s">
        <v>6</v>
      </c>
      <c r="E569">
        <v>688730</v>
      </c>
      <c r="F569" t="s">
        <v>11</v>
      </c>
    </row>
    <row r="570" spans="1:6" x14ac:dyDescent="0.35">
      <c r="A570">
        <v>7723</v>
      </c>
      <c r="B570" s="1">
        <v>45059</v>
      </c>
      <c r="C570">
        <v>777.22</v>
      </c>
      <c r="D570" t="s">
        <v>13</v>
      </c>
      <c r="E570">
        <v>989587</v>
      </c>
      <c r="F570" t="s">
        <v>10</v>
      </c>
    </row>
    <row r="571" spans="1:6" x14ac:dyDescent="0.35">
      <c r="A571">
        <v>3196</v>
      </c>
      <c r="B571" s="1">
        <v>45059</v>
      </c>
      <c r="C571">
        <v>847.68</v>
      </c>
      <c r="D571" t="s">
        <v>13</v>
      </c>
      <c r="E571">
        <v>846606</v>
      </c>
      <c r="F571" t="s">
        <v>11</v>
      </c>
    </row>
    <row r="572" spans="1:6" x14ac:dyDescent="0.35">
      <c r="A572">
        <v>4892</v>
      </c>
      <c r="B572" s="1">
        <v>45059</v>
      </c>
      <c r="C572">
        <v>786.46</v>
      </c>
      <c r="D572" t="s">
        <v>6</v>
      </c>
      <c r="E572">
        <v>826596</v>
      </c>
      <c r="F572" t="s">
        <v>10</v>
      </c>
    </row>
    <row r="573" spans="1:6" x14ac:dyDescent="0.35">
      <c r="A573">
        <v>7529</v>
      </c>
      <c r="B573" s="1">
        <v>45059</v>
      </c>
      <c r="C573">
        <v>440.15</v>
      </c>
      <c r="D573" t="s">
        <v>12</v>
      </c>
      <c r="E573">
        <v>899049</v>
      </c>
      <c r="F573" t="s">
        <v>9</v>
      </c>
    </row>
    <row r="574" spans="1:6" x14ac:dyDescent="0.35">
      <c r="A574">
        <v>6354</v>
      </c>
      <c r="B574" s="1">
        <v>45059</v>
      </c>
      <c r="C574">
        <v>700.79</v>
      </c>
      <c r="D574" t="s">
        <v>12</v>
      </c>
      <c r="E574">
        <v>152973</v>
      </c>
      <c r="F574" t="s">
        <v>7</v>
      </c>
    </row>
    <row r="575" spans="1:6" x14ac:dyDescent="0.35">
      <c r="A575">
        <v>6873</v>
      </c>
      <c r="B575" s="1">
        <v>45059</v>
      </c>
      <c r="C575">
        <v>307.19</v>
      </c>
      <c r="D575" t="s">
        <v>12</v>
      </c>
      <c r="E575">
        <v>981473</v>
      </c>
      <c r="F575" t="s">
        <v>9</v>
      </c>
    </row>
    <row r="576" spans="1:6" x14ac:dyDescent="0.35">
      <c r="A576">
        <v>5254</v>
      </c>
      <c r="B576" s="1">
        <v>45060</v>
      </c>
      <c r="C576">
        <v>579.39</v>
      </c>
      <c r="D576" t="s">
        <v>6</v>
      </c>
      <c r="E576">
        <v>236014</v>
      </c>
      <c r="F576" t="s">
        <v>7</v>
      </c>
    </row>
    <row r="577" spans="1:6" x14ac:dyDescent="0.35">
      <c r="A577">
        <v>3262</v>
      </c>
      <c r="B577" s="1">
        <v>45060</v>
      </c>
      <c r="C577">
        <v>215.27</v>
      </c>
      <c r="D577" t="s">
        <v>6</v>
      </c>
      <c r="E577">
        <v>794395</v>
      </c>
      <c r="F577" t="s">
        <v>7</v>
      </c>
    </row>
    <row r="578" spans="1:6" x14ac:dyDescent="0.35">
      <c r="A578">
        <v>2633</v>
      </c>
      <c r="B578" s="1">
        <v>45060</v>
      </c>
      <c r="C578">
        <v>911.34</v>
      </c>
      <c r="D578" t="s">
        <v>8</v>
      </c>
      <c r="E578">
        <v>857537</v>
      </c>
      <c r="F578" t="s">
        <v>9</v>
      </c>
    </row>
    <row r="579" spans="1:6" x14ac:dyDescent="0.35">
      <c r="A579">
        <v>2341</v>
      </c>
      <c r="B579" s="1">
        <v>45060</v>
      </c>
      <c r="C579">
        <v>452.28</v>
      </c>
      <c r="D579" t="s">
        <v>6</v>
      </c>
      <c r="E579">
        <v>181896</v>
      </c>
      <c r="F579" t="s">
        <v>10</v>
      </c>
    </row>
    <row r="580" spans="1:6" x14ac:dyDescent="0.35">
      <c r="A580">
        <v>6542</v>
      </c>
      <c r="B580" s="1">
        <v>45060</v>
      </c>
      <c r="C580">
        <v>527.87</v>
      </c>
      <c r="D580" t="s">
        <v>8</v>
      </c>
      <c r="E580">
        <v>553873</v>
      </c>
      <c r="F580" t="s">
        <v>9</v>
      </c>
    </row>
    <row r="581" spans="1:6" x14ac:dyDescent="0.35">
      <c r="A581">
        <v>3150</v>
      </c>
      <c r="B581" s="1">
        <v>45060</v>
      </c>
      <c r="C581">
        <v>840.13</v>
      </c>
      <c r="D581" t="s">
        <v>8</v>
      </c>
      <c r="E581">
        <v>136862</v>
      </c>
      <c r="F581" t="s">
        <v>11</v>
      </c>
    </row>
    <row r="582" spans="1:6" x14ac:dyDescent="0.35">
      <c r="A582">
        <v>8126</v>
      </c>
      <c r="B582" s="1">
        <v>45060</v>
      </c>
      <c r="C582">
        <v>643.39</v>
      </c>
      <c r="D582" t="s">
        <v>6</v>
      </c>
      <c r="E582">
        <v>464032</v>
      </c>
      <c r="F582" t="s">
        <v>7</v>
      </c>
    </row>
    <row r="583" spans="1:6" x14ac:dyDescent="0.35">
      <c r="A583">
        <v>8199</v>
      </c>
      <c r="B583" s="1">
        <v>45060</v>
      </c>
      <c r="C583">
        <v>527.52</v>
      </c>
      <c r="D583" t="s">
        <v>12</v>
      </c>
      <c r="E583">
        <v>481574</v>
      </c>
      <c r="F583" t="s">
        <v>11</v>
      </c>
    </row>
    <row r="584" spans="1:6" x14ac:dyDescent="0.35">
      <c r="A584">
        <v>1166</v>
      </c>
      <c r="B584" s="1">
        <v>45060</v>
      </c>
      <c r="C584">
        <v>948.58</v>
      </c>
      <c r="D584" t="s">
        <v>8</v>
      </c>
      <c r="E584">
        <v>353080</v>
      </c>
      <c r="F584" t="s">
        <v>7</v>
      </c>
    </row>
    <row r="585" spans="1:6" x14ac:dyDescent="0.35">
      <c r="A585">
        <v>9901</v>
      </c>
      <c r="B585" s="1">
        <v>45060</v>
      </c>
      <c r="C585">
        <v>498.97</v>
      </c>
      <c r="D585" t="s">
        <v>12</v>
      </c>
      <c r="E585">
        <v>992400</v>
      </c>
      <c r="F585" t="s">
        <v>7</v>
      </c>
    </row>
    <row r="586" spans="1:6" x14ac:dyDescent="0.35">
      <c r="A586">
        <v>9064</v>
      </c>
      <c r="B586" s="1">
        <v>45061</v>
      </c>
      <c r="C586">
        <v>315.95999999999998</v>
      </c>
      <c r="D586" t="s">
        <v>13</v>
      </c>
      <c r="E586">
        <v>139807</v>
      </c>
      <c r="F586" t="s">
        <v>10</v>
      </c>
    </row>
    <row r="587" spans="1:6" x14ac:dyDescent="0.35">
      <c r="A587">
        <v>7566</v>
      </c>
      <c r="B587" s="1">
        <v>45061</v>
      </c>
      <c r="C587">
        <v>511.55</v>
      </c>
      <c r="D587" t="s">
        <v>13</v>
      </c>
      <c r="E587">
        <v>670053</v>
      </c>
      <c r="F587" t="s">
        <v>10</v>
      </c>
    </row>
    <row r="588" spans="1:6" x14ac:dyDescent="0.35">
      <c r="A588">
        <v>6986</v>
      </c>
      <c r="B588" s="1">
        <v>45061</v>
      </c>
      <c r="C588">
        <v>686.11</v>
      </c>
      <c r="D588" t="s">
        <v>13</v>
      </c>
      <c r="E588">
        <v>907788</v>
      </c>
      <c r="F588" t="s">
        <v>10</v>
      </c>
    </row>
    <row r="589" spans="1:6" x14ac:dyDescent="0.35">
      <c r="A589">
        <v>6688</v>
      </c>
      <c r="B589" s="1">
        <v>45061</v>
      </c>
      <c r="C589">
        <v>434.09</v>
      </c>
      <c r="D589" t="s">
        <v>6</v>
      </c>
      <c r="E589">
        <v>172306</v>
      </c>
      <c r="F589" t="s">
        <v>11</v>
      </c>
    </row>
    <row r="590" spans="1:6" x14ac:dyDescent="0.35">
      <c r="A590">
        <v>4683</v>
      </c>
      <c r="B590" s="1">
        <v>45061</v>
      </c>
      <c r="C590">
        <v>295.77999999999997</v>
      </c>
      <c r="D590" t="s">
        <v>13</v>
      </c>
      <c r="E590">
        <v>693127</v>
      </c>
      <c r="F590" t="s">
        <v>7</v>
      </c>
    </row>
    <row r="591" spans="1:6" x14ac:dyDescent="0.35">
      <c r="A591">
        <v>4510</v>
      </c>
      <c r="B591" s="1">
        <v>45061</v>
      </c>
      <c r="C591">
        <v>140.99</v>
      </c>
      <c r="D591" t="s">
        <v>13</v>
      </c>
      <c r="E591">
        <v>354801</v>
      </c>
      <c r="F591" t="s">
        <v>7</v>
      </c>
    </row>
    <row r="592" spans="1:6" x14ac:dyDescent="0.35">
      <c r="A592">
        <v>4116</v>
      </c>
      <c r="B592" s="1">
        <v>45061</v>
      </c>
      <c r="C592">
        <v>454.13</v>
      </c>
      <c r="D592" t="s">
        <v>13</v>
      </c>
      <c r="E592">
        <v>292401</v>
      </c>
      <c r="F592" t="s">
        <v>11</v>
      </c>
    </row>
    <row r="593" spans="1:6" x14ac:dyDescent="0.35">
      <c r="A593">
        <v>8859</v>
      </c>
      <c r="B593" s="1">
        <v>45061</v>
      </c>
      <c r="C593">
        <v>783.62</v>
      </c>
      <c r="D593" t="s">
        <v>6</v>
      </c>
      <c r="E593">
        <v>693128</v>
      </c>
      <c r="F593" t="s">
        <v>11</v>
      </c>
    </row>
    <row r="594" spans="1:6" x14ac:dyDescent="0.35">
      <c r="A594">
        <v>4804</v>
      </c>
      <c r="B594" s="1">
        <v>45061</v>
      </c>
      <c r="C594">
        <v>741.3</v>
      </c>
      <c r="D594" t="s">
        <v>8</v>
      </c>
      <c r="E594">
        <v>283568</v>
      </c>
      <c r="F594" t="s">
        <v>7</v>
      </c>
    </row>
    <row r="595" spans="1:6" x14ac:dyDescent="0.35">
      <c r="A595">
        <v>7865</v>
      </c>
      <c r="B595" s="1">
        <v>45061</v>
      </c>
      <c r="C595">
        <v>750.04</v>
      </c>
      <c r="D595" t="s">
        <v>12</v>
      </c>
      <c r="E595">
        <v>611945</v>
      </c>
      <c r="F595" t="s">
        <v>9</v>
      </c>
    </row>
    <row r="596" spans="1:6" x14ac:dyDescent="0.35">
      <c r="A596">
        <v>2063</v>
      </c>
      <c r="B596" s="1">
        <v>45062</v>
      </c>
      <c r="C596">
        <v>546.75</v>
      </c>
      <c r="D596" t="s">
        <v>6</v>
      </c>
      <c r="E596">
        <v>992717</v>
      </c>
      <c r="F596" t="s">
        <v>9</v>
      </c>
    </row>
    <row r="597" spans="1:6" x14ac:dyDescent="0.35">
      <c r="A597">
        <v>6439</v>
      </c>
      <c r="B597" s="1">
        <v>45062</v>
      </c>
      <c r="C597">
        <v>769.74</v>
      </c>
      <c r="D597" t="s">
        <v>13</v>
      </c>
      <c r="E597">
        <v>851470</v>
      </c>
      <c r="F597" t="s">
        <v>11</v>
      </c>
    </row>
    <row r="598" spans="1:6" x14ac:dyDescent="0.35">
      <c r="A598">
        <v>3024</v>
      </c>
      <c r="B598" s="1">
        <v>45062</v>
      </c>
      <c r="C598">
        <v>260.20999999999998</v>
      </c>
      <c r="D598" t="s">
        <v>12</v>
      </c>
      <c r="E598">
        <v>315477</v>
      </c>
      <c r="F598" t="s">
        <v>10</v>
      </c>
    </row>
    <row r="599" spans="1:6" x14ac:dyDescent="0.35">
      <c r="A599">
        <v>1645</v>
      </c>
      <c r="B599" s="1">
        <v>45062</v>
      </c>
      <c r="C599">
        <v>501.39</v>
      </c>
      <c r="D599" t="s">
        <v>12</v>
      </c>
      <c r="E599">
        <v>821634</v>
      </c>
      <c r="F599" t="s">
        <v>7</v>
      </c>
    </row>
    <row r="600" spans="1:6" x14ac:dyDescent="0.35">
      <c r="A600">
        <v>1643</v>
      </c>
      <c r="B600" s="1">
        <v>45062</v>
      </c>
      <c r="C600">
        <v>393.52</v>
      </c>
      <c r="D600" t="s">
        <v>8</v>
      </c>
      <c r="E600">
        <v>299072</v>
      </c>
      <c r="F600" t="s">
        <v>11</v>
      </c>
    </row>
    <row r="601" spans="1:6" x14ac:dyDescent="0.35">
      <c r="A601">
        <v>6829</v>
      </c>
      <c r="B601" s="1">
        <v>45062</v>
      </c>
      <c r="C601">
        <v>941.73</v>
      </c>
      <c r="D601" t="s">
        <v>13</v>
      </c>
      <c r="E601">
        <v>294760</v>
      </c>
      <c r="F601" t="s">
        <v>7</v>
      </c>
    </row>
    <row r="602" spans="1:6" x14ac:dyDescent="0.35">
      <c r="A602">
        <v>6939</v>
      </c>
      <c r="B602" s="1">
        <v>45062</v>
      </c>
      <c r="C602">
        <v>295.72000000000003</v>
      </c>
      <c r="D602" t="s">
        <v>13</v>
      </c>
      <c r="E602">
        <v>628750</v>
      </c>
      <c r="F602" t="s">
        <v>7</v>
      </c>
    </row>
    <row r="603" spans="1:6" x14ac:dyDescent="0.35">
      <c r="A603">
        <v>4863</v>
      </c>
      <c r="B603" s="1">
        <v>45062</v>
      </c>
      <c r="C603">
        <v>437.9</v>
      </c>
      <c r="D603" t="s">
        <v>13</v>
      </c>
      <c r="E603">
        <v>305587</v>
      </c>
      <c r="F603" t="s">
        <v>9</v>
      </c>
    </row>
    <row r="604" spans="1:6" x14ac:dyDescent="0.35">
      <c r="A604">
        <v>6714</v>
      </c>
      <c r="B604" s="1">
        <v>45062</v>
      </c>
      <c r="C604">
        <v>934.36</v>
      </c>
      <c r="D604" t="s">
        <v>6</v>
      </c>
      <c r="E604">
        <v>401769</v>
      </c>
      <c r="F604" t="s">
        <v>10</v>
      </c>
    </row>
    <row r="605" spans="1:6" x14ac:dyDescent="0.35">
      <c r="A605">
        <v>7653</v>
      </c>
      <c r="B605" s="1">
        <v>45062</v>
      </c>
      <c r="C605">
        <v>835.39</v>
      </c>
      <c r="D605" t="s">
        <v>6</v>
      </c>
      <c r="E605">
        <v>400850</v>
      </c>
      <c r="F605" t="s">
        <v>9</v>
      </c>
    </row>
    <row r="606" spans="1:6" x14ac:dyDescent="0.35">
      <c r="A606">
        <v>8879</v>
      </c>
      <c r="B606" s="1">
        <v>45062</v>
      </c>
      <c r="C606">
        <v>206.13</v>
      </c>
      <c r="D606" t="s">
        <v>13</v>
      </c>
      <c r="E606">
        <v>783932</v>
      </c>
      <c r="F606" t="s">
        <v>9</v>
      </c>
    </row>
    <row r="607" spans="1:6" x14ac:dyDescent="0.35">
      <c r="A607">
        <v>9004</v>
      </c>
      <c r="B607" s="1">
        <v>45062</v>
      </c>
      <c r="C607">
        <v>760.58</v>
      </c>
      <c r="D607" t="s">
        <v>13</v>
      </c>
      <c r="E607">
        <v>777278</v>
      </c>
      <c r="F607" t="s">
        <v>7</v>
      </c>
    </row>
    <row r="608" spans="1:6" x14ac:dyDescent="0.35">
      <c r="A608">
        <v>2940</v>
      </c>
      <c r="B608" s="1">
        <v>45062</v>
      </c>
      <c r="C608">
        <v>766.8</v>
      </c>
      <c r="D608" t="s">
        <v>12</v>
      </c>
      <c r="E608">
        <v>913373</v>
      </c>
      <c r="F608" t="s">
        <v>7</v>
      </c>
    </row>
    <row r="609" spans="1:6" x14ac:dyDescent="0.35">
      <c r="A609">
        <v>9376</v>
      </c>
      <c r="B609" s="1">
        <v>45062</v>
      </c>
      <c r="C609">
        <v>574.96</v>
      </c>
      <c r="D609" t="s">
        <v>12</v>
      </c>
      <c r="E609">
        <v>198867</v>
      </c>
      <c r="F609" t="s">
        <v>10</v>
      </c>
    </row>
    <row r="610" spans="1:6" x14ac:dyDescent="0.35">
      <c r="A610">
        <v>1182</v>
      </c>
      <c r="B610" s="1">
        <v>45062</v>
      </c>
      <c r="C610">
        <v>876.02</v>
      </c>
      <c r="D610" t="s">
        <v>12</v>
      </c>
      <c r="E610">
        <v>229221</v>
      </c>
      <c r="F610" t="s">
        <v>10</v>
      </c>
    </row>
    <row r="611" spans="1:6" x14ac:dyDescent="0.35">
      <c r="A611">
        <v>1944</v>
      </c>
      <c r="B611" s="1">
        <v>45062</v>
      </c>
      <c r="C611">
        <v>418.55</v>
      </c>
      <c r="D611" t="s">
        <v>13</v>
      </c>
      <c r="E611">
        <v>684357</v>
      </c>
      <c r="F611" t="s">
        <v>9</v>
      </c>
    </row>
    <row r="612" spans="1:6" x14ac:dyDescent="0.35">
      <c r="A612">
        <v>1082</v>
      </c>
      <c r="B612" s="1">
        <v>45063</v>
      </c>
      <c r="C612">
        <v>600.69000000000005</v>
      </c>
      <c r="D612" t="s">
        <v>8</v>
      </c>
      <c r="E612">
        <v>419491</v>
      </c>
      <c r="F612" t="s">
        <v>9</v>
      </c>
    </row>
    <row r="613" spans="1:6" x14ac:dyDescent="0.35">
      <c r="A613">
        <v>3762</v>
      </c>
      <c r="B613" s="1">
        <v>45063</v>
      </c>
      <c r="C613">
        <v>766.84</v>
      </c>
      <c r="D613" t="s">
        <v>13</v>
      </c>
      <c r="E613">
        <v>923353</v>
      </c>
      <c r="F613" t="s">
        <v>10</v>
      </c>
    </row>
    <row r="614" spans="1:6" x14ac:dyDescent="0.35">
      <c r="A614">
        <v>9918</v>
      </c>
      <c r="B614" s="1">
        <v>45063</v>
      </c>
      <c r="C614">
        <v>182.11</v>
      </c>
      <c r="D614" t="s">
        <v>13</v>
      </c>
      <c r="E614">
        <v>483041</v>
      </c>
      <c r="F614" t="s">
        <v>10</v>
      </c>
    </row>
    <row r="615" spans="1:6" x14ac:dyDescent="0.35">
      <c r="A615">
        <v>5888</v>
      </c>
      <c r="B615" s="1">
        <v>45063</v>
      </c>
      <c r="C615">
        <v>606.76</v>
      </c>
      <c r="D615" t="s">
        <v>6</v>
      </c>
      <c r="E615">
        <v>398384</v>
      </c>
      <c r="F615" t="s">
        <v>7</v>
      </c>
    </row>
    <row r="616" spans="1:6" x14ac:dyDescent="0.35">
      <c r="A616">
        <v>1517</v>
      </c>
      <c r="B616" s="1">
        <v>45063</v>
      </c>
      <c r="C616">
        <v>948.72</v>
      </c>
      <c r="D616" t="s">
        <v>8</v>
      </c>
      <c r="E616">
        <v>300051</v>
      </c>
      <c r="F616" t="s">
        <v>10</v>
      </c>
    </row>
    <row r="617" spans="1:6" x14ac:dyDescent="0.35">
      <c r="A617">
        <v>9443</v>
      </c>
      <c r="B617" s="1">
        <v>45063</v>
      </c>
      <c r="C617">
        <v>249.52</v>
      </c>
      <c r="D617" t="s">
        <v>12</v>
      </c>
      <c r="E617">
        <v>405420</v>
      </c>
      <c r="F617" t="s">
        <v>7</v>
      </c>
    </row>
    <row r="618" spans="1:6" x14ac:dyDescent="0.35">
      <c r="A618">
        <v>3148</v>
      </c>
      <c r="B618" s="1">
        <v>45063</v>
      </c>
      <c r="C618">
        <v>689.15</v>
      </c>
      <c r="D618" t="s">
        <v>8</v>
      </c>
      <c r="E618">
        <v>855829</v>
      </c>
      <c r="F618" t="s">
        <v>11</v>
      </c>
    </row>
    <row r="619" spans="1:6" x14ac:dyDescent="0.35">
      <c r="A619">
        <v>8796</v>
      </c>
      <c r="B619" s="1">
        <v>45063</v>
      </c>
      <c r="C619">
        <v>747.86</v>
      </c>
      <c r="D619" t="s">
        <v>13</v>
      </c>
      <c r="E619">
        <v>375311</v>
      </c>
      <c r="F619" t="s">
        <v>10</v>
      </c>
    </row>
    <row r="620" spans="1:6" x14ac:dyDescent="0.35">
      <c r="A620">
        <v>1972</v>
      </c>
      <c r="B620" s="1">
        <v>45063</v>
      </c>
      <c r="C620">
        <v>357.31</v>
      </c>
      <c r="D620" t="s">
        <v>6</v>
      </c>
      <c r="E620">
        <v>725850</v>
      </c>
      <c r="F620" t="s">
        <v>9</v>
      </c>
    </row>
    <row r="621" spans="1:6" x14ac:dyDescent="0.35">
      <c r="A621">
        <v>4943</v>
      </c>
      <c r="B621" s="1">
        <v>45063</v>
      </c>
      <c r="C621">
        <v>550.16999999999996</v>
      </c>
      <c r="D621" t="s">
        <v>13</v>
      </c>
      <c r="E621">
        <v>902903</v>
      </c>
      <c r="F621" t="s">
        <v>11</v>
      </c>
    </row>
    <row r="622" spans="1:6" x14ac:dyDescent="0.35">
      <c r="A622">
        <v>9044</v>
      </c>
      <c r="B622" s="1">
        <v>45063</v>
      </c>
      <c r="C622">
        <v>784.15</v>
      </c>
      <c r="D622" t="s">
        <v>6</v>
      </c>
      <c r="E622">
        <v>494322</v>
      </c>
      <c r="F622" t="s">
        <v>11</v>
      </c>
    </row>
    <row r="623" spans="1:6" x14ac:dyDescent="0.35">
      <c r="A623">
        <v>9897</v>
      </c>
      <c r="B623" s="1">
        <v>45063</v>
      </c>
      <c r="C623">
        <v>661.53</v>
      </c>
      <c r="D623" t="s">
        <v>12</v>
      </c>
      <c r="E623">
        <v>991737</v>
      </c>
      <c r="F623" t="s">
        <v>11</v>
      </c>
    </row>
    <row r="624" spans="1:6" x14ac:dyDescent="0.35">
      <c r="A624">
        <v>3661</v>
      </c>
      <c r="B624" s="1">
        <v>45063</v>
      </c>
      <c r="C624">
        <v>248.07</v>
      </c>
      <c r="D624" t="s">
        <v>13</v>
      </c>
      <c r="E624">
        <v>809922</v>
      </c>
      <c r="F624" t="s">
        <v>11</v>
      </c>
    </row>
    <row r="625" spans="1:6" x14ac:dyDescent="0.35">
      <c r="A625">
        <v>7170</v>
      </c>
      <c r="B625" s="1">
        <v>45064</v>
      </c>
      <c r="C625">
        <v>906.98</v>
      </c>
      <c r="D625" t="s">
        <v>8</v>
      </c>
      <c r="E625">
        <v>367865</v>
      </c>
      <c r="F625" t="s">
        <v>9</v>
      </c>
    </row>
    <row r="626" spans="1:6" x14ac:dyDescent="0.35">
      <c r="A626">
        <v>7431</v>
      </c>
      <c r="B626" s="1">
        <v>45064</v>
      </c>
      <c r="C626">
        <v>123.09</v>
      </c>
      <c r="D626" t="s">
        <v>6</v>
      </c>
      <c r="E626">
        <v>986589</v>
      </c>
      <c r="F626" t="s">
        <v>7</v>
      </c>
    </row>
    <row r="627" spans="1:6" x14ac:dyDescent="0.35">
      <c r="A627">
        <v>7455</v>
      </c>
      <c r="B627" s="1">
        <v>45064</v>
      </c>
      <c r="C627">
        <v>568.75</v>
      </c>
      <c r="D627" t="s">
        <v>8</v>
      </c>
      <c r="E627">
        <v>188025</v>
      </c>
      <c r="F627" t="s">
        <v>7</v>
      </c>
    </row>
    <row r="628" spans="1:6" x14ac:dyDescent="0.35">
      <c r="A628">
        <v>7049</v>
      </c>
      <c r="B628" s="1">
        <v>45064</v>
      </c>
      <c r="C628">
        <v>557</v>
      </c>
      <c r="D628" t="s">
        <v>13</v>
      </c>
      <c r="E628">
        <v>233636</v>
      </c>
      <c r="F628" t="s">
        <v>10</v>
      </c>
    </row>
    <row r="629" spans="1:6" x14ac:dyDescent="0.35">
      <c r="A629">
        <v>5033</v>
      </c>
      <c r="B629" s="1">
        <v>45064</v>
      </c>
      <c r="C629">
        <v>598.57000000000005</v>
      </c>
      <c r="D629" t="s">
        <v>8</v>
      </c>
      <c r="E629">
        <v>539589</v>
      </c>
      <c r="F629" t="s">
        <v>11</v>
      </c>
    </row>
    <row r="630" spans="1:6" x14ac:dyDescent="0.35">
      <c r="A630">
        <v>7824</v>
      </c>
      <c r="B630" s="1">
        <v>45064</v>
      </c>
      <c r="C630">
        <v>314.60000000000002</v>
      </c>
      <c r="D630" t="s">
        <v>8</v>
      </c>
      <c r="E630">
        <v>725905</v>
      </c>
      <c r="F630" t="s">
        <v>7</v>
      </c>
    </row>
    <row r="631" spans="1:6" x14ac:dyDescent="0.35">
      <c r="A631">
        <v>3420</v>
      </c>
      <c r="B631" s="1">
        <v>45064</v>
      </c>
      <c r="C631">
        <v>707.65</v>
      </c>
      <c r="D631" t="s">
        <v>12</v>
      </c>
      <c r="E631">
        <v>911982</v>
      </c>
      <c r="F631" t="s">
        <v>10</v>
      </c>
    </row>
    <row r="632" spans="1:6" x14ac:dyDescent="0.35">
      <c r="A632">
        <v>1273</v>
      </c>
      <c r="B632" s="1">
        <v>45064</v>
      </c>
      <c r="C632">
        <v>76.86</v>
      </c>
      <c r="D632" t="s">
        <v>6</v>
      </c>
      <c r="E632">
        <v>326222</v>
      </c>
      <c r="F632" t="s">
        <v>10</v>
      </c>
    </row>
    <row r="633" spans="1:6" x14ac:dyDescent="0.35">
      <c r="A633">
        <v>6661</v>
      </c>
      <c r="B633" s="1">
        <v>45064</v>
      </c>
      <c r="C633">
        <v>306.16000000000003</v>
      </c>
      <c r="D633" t="s">
        <v>13</v>
      </c>
      <c r="E633">
        <v>823846</v>
      </c>
      <c r="F633" t="s">
        <v>11</v>
      </c>
    </row>
    <row r="634" spans="1:6" x14ac:dyDescent="0.35">
      <c r="A634">
        <v>9108</v>
      </c>
      <c r="B634" s="1">
        <v>45065</v>
      </c>
      <c r="C634">
        <v>883.52</v>
      </c>
      <c r="D634" t="s">
        <v>13</v>
      </c>
      <c r="E634">
        <v>399628</v>
      </c>
      <c r="F634" t="s">
        <v>10</v>
      </c>
    </row>
    <row r="635" spans="1:6" x14ac:dyDescent="0.35">
      <c r="A635">
        <v>8359</v>
      </c>
      <c r="B635" s="1">
        <v>45065</v>
      </c>
      <c r="C635">
        <v>992.85</v>
      </c>
      <c r="D635" t="s">
        <v>13</v>
      </c>
      <c r="E635">
        <v>278852</v>
      </c>
      <c r="F635" t="s">
        <v>9</v>
      </c>
    </row>
    <row r="636" spans="1:6" x14ac:dyDescent="0.35">
      <c r="A636">
        <v>5660</v>
      </c>
      <c r="B636" s="1">
        <v>45065</v>
      </c>
      <c r="C636">
        <v>26.14</v>
      </c>
      <c r="D636" t="s">
        <v>12</v>
      </c>
      <c r="E636">
        <v>416503</v>
      </c>
      <c r="F636" t="s">
        <v>10</v>
      </c>
    </row>
    <row r="637" spans="1:6" x14ac:dyDescent="0.35">
      <c r="A637">
        <v>6277</v>
      </c>
      <c r="B637" s="1">
        <v>45065</v>
      </c>
      <c r="C637">
        <v>156.85</v>
      </c>
      <c r="D637" t="s">
        <v>12</v>
      </c>
      <c r="E637">
        <v>388375</v>
      </c>
      <c r="F637" t="s">
        <v>11</v>
      </c>
    </row>
    <row r="638" spans="1:6" x14ac:dyDescent="0.35">
      <c r="A638">
        <v>4616</v>
      </c>
      <c r="B638" s="1">
        <v>45065</v>
      </c>
      <c r="C638">
        <v>720.67</v>
      </c>
      <c r="D638" t="s">
        <v>8</v>
      </c>
      <c r="E638">
        <v>318877</v>
      </c>
      <c r="F638" t="s">
        <v>7</v>
      </c>
    </row>
    <row r="639" spans="1:6" x14ac:dyDescent="0.35">
      <c r="A639">
        <v>7916</v>
      </c>
      <c r="B639" s="1">
        <v>45065</v>
      </c>
      <c r="C639">
        <v>72.89</v>
      </c>
      <c r="D639" t="s">
        <v>13</v>
      </c>
      <c r="E639">
        <v>724834</v>
      </c>
      <c r="F639" t="s">
        <v>7</v>
      </c>
    </row>
    <row r="640" spans="1:6" x14ac:dyDescent="0.35">
      <c r="A640">
        <v>1530</v>
      </c>
      <c r="B640" s="1">
        <v>45065</v>
      </c>
      <c r="C640">
        <v>161.9</v>
      </c>
      <c r="D640" t="s">
        <v>13</v>
      </c>
      <c r="E640">
        <v>488984</v>
      </c>
      <c r="F640" t="s">
        <v>11</v>
      </c>
    </row>
    <row r="641" spans="1:6" x14ac:dyDescent="0.35">
      <c r="A641">
        <v>7859</v>
      </c>
      <c r="B641" s="1">
        <v>45065</v>
      </c>
      <c r="C641">
        <v>916.75</v>
      </c>
      <c r="D641" t="s">
        <v>12</v>
      </c>
      <c r="E641">
        <v>386886</v>
      </c>
      <c r="F641" t="s">
        <v>7</v>
      </c>
    </row>
    <row r="642" spans="1:6" x14ac:dyDescent="0.35">
      <c r="A642">
        <v>7240</v>
      </c>
      <c r="B642" s="1">
        <v>45065</v>
      </c>
      <c r="C642">
        <v>535.25</v>
      </c>
      <c r="D642" t="s">
        <v>13</v>
      </c>
      <c r="E642">
        <v>630108</v>
      </c>
      <c r="F642" t="s">
        <v>7</v>
      </c>
    </row>
    <row r="643" spans="1:6" x14ac:dyDescent="0.35">
      <c r="A643">
        <v>4770</v>
      </c>
      <c r="B643" s="1">
        <v>45065</v>
      </c>
      <c r="C643">
        <v>803.91</v>
      </c>
      <c r="D643" t="s">
        <v>12</v>
      </c>
      <c r="E643">
        <v>767542</v>
      </c>
      <c r="F643" t="s">
        <v>9</v>
      </c>
    </row>
    <row r="644" spans="1:6" x14ac:dyDescent="0.35">
      <c r="A644">
        <v>7730</v>
      </c>
      <c r="B644" s="1">
        <v>45065</v>
      </c>
      <c r="C644">
        <v>151.29</v>
      </c>
      <c r="D644" t="s">
        <v>12</v>
      </c>
      <c r="E644">
        <v>753484</v>
      </c>
      <c r="F644" t="s">
        <v>11</v>
      </c>
    </row>
    <row r="645" spans="1:6" x14ac:dyDescent="0.35">
      <c r="A645">
        <v>8149</v>
      </c>
      <c r="B645" s="1">
        <v>45065</v>
      </c>
      <c r="C645">
        <v>984.39</v>
      </c>
      <c r="D645" t="s">
        <v>8</v>
      </c>
      <c r="E645">
        <v>503906</v>
      </c>
      <c r="F645" t="s">
        <v>9</v>
      </c>
    </row>
    <row r="646" spans="1:6" x14ac:dyDescent="0.35">
      <c r="A646">
        <v>3837</v>
      </c>
      <c r="B646" s="1">
        <v>45065</v>
      </c>
      <c r="C646">
        <v>802.86</v>
      </c>
      <c r="D646" t="s">
        <v>12</v>
      </c>
      <c r="E646">
        <v>364650</v>
      </c>
      <c r="F646" t="s">
        <v>11</v>
      </c>
    </row>
    <row r="647" spans="1:6" x14ac:dyDescent="0.35">
      <c r="A647">
        <v>1430</v>
      </c>
      <c r="B647" s="1">
        <v>45065</v>
      </c>
      <c r="C647">
        <v>929.79</v>
      </c>
      <c r="D647" t="s">
        <v>6</v>
      </c>
      <c r="E647">
        <v>130359</v>
      </c>
      <c r="F647" t="s">
        <v>9</v>
      </c>
    </row>
    <row r="648" spans="1:6" x14ac:dyDescent="0.35">
      <c r="A648">
        <v>5382</v>
      </c>
      <c r="B648" s="1">
        <v>45065</v>
      </c>
      <c r="C648">
        <v>648.20000000000005</v>
      </c>
      <c r="D648" t="s">
        <v>6</v>
      </c>
      <c r="E648">
        <v>566509</v>
      </c>
      <c r="F648" t="s">
        <v>11</v>
      </c>
    </row>
    <row r="649" spans="1:6" x14ac:dyDescent="0.35">
      <c r="A649">
        <v>1685</v>
      </c>
      <c r="B649" s="1">
        <v>45065</v>
      </c>
      <c r="C649">
        <v>737.98</v>
      </c>
      <c r="D649" t="s">
        <v>13</v>
      </c>
      <c r="E649">
        <v>855185</v>
      </c>
      <c r="F649" t="s">
        <v>11</v>
      </c>
    </row>
    <row r="650" spans="1:6" x14ac:dyDescent="0.35">
      <c r="A650">
        <v>3983</v>
      </c>
      <c r="B650" s="1">
        <v>45065</v>
      </c>
      <c r="C650">
        <v>325.02999999999997</v>
      </c>
      <c r="D650" t="s">
        <v>12</v>
      </c>
      <c r="E650">
        <v>770718</v>
      </c>
      <c r="F650" t="s">
        <v>10</v>
      </c>
    </row>
    <row r="651" spans="1:6" x14ac:dyDescent="0.35">
      <c r="A651">
        <v>6267</v>
      </c>
      <c r="B651" s="1">
        <v>45065</v>
      </c>
      <c r="C651">
        <v>480.87</v>
      </c>
      <c r="D651" t="s">
        <v>12</v>
      </c>
      <c r="E651">
        <v>164879</v>
      </c>
      <c r="F651" t="s">
        <v>7</v>
      </c>
    </row>
    <row r="652" spans="1:6" x14ac:dyDescent="0.35">
      <c r="A652">
        <v>3120</v>
      </c>
      <c r="B652" s="1">
        <v>45066</v>
      </c>
      <c r="C652">
        <v>439.37</v>
      </c>
      <c r="D652" t="s">
        <v>13</v>
      </c>
      <c r="E652">
        <v>522988</v>
      </c>
      <c r="F652" t="s">
        <v>7</v>
      </c>
    </row>
    <row r="653" spans="1:6" x14ac:dyDescent="0.35">
      <c r="A653">
        <v>3719</v>
      </c>
      <c r="B653" s="1">
        <v>45066</v>
      </c>
      <c r="C653">
        <v>147.84</v>
      </c>
      <c r="D653" t="s">
        <v>12</v>
      </c>
      <c r="E653">
        <v>953047</v>
      </c>
      <c r="F653" t="s">
        <v>9</v>
      </c>
    </row>
    <row r="654" spans="1:6" x14ac:dyDescent="0.35">
      <c r="A654">
        <v>9383</v>
      </c>
      <c r="B654" s="1">
        <v>45066</v>
      </c>
      <c r="C654">
        <v>950.26</v>
      </c>
      <c r="D654" t="s">
        <v>13</v>
      </c>
      <c r="E654">
        <v>677079</v>
      </c>
      <c r="F654" t="s">
        <v>7</v>
      </c>
    </row>
    <row r="655" spans="1:6" x14ac:dyDescent="0.35">
      <c r="A655">
        <v>7457</v>
      </c>
      <c r="B655" s="1">
        <v>45066</v>
      </c>
      <c r="C655">
        <v>939.75</v>
      </c>
      <c r="D655" t="s">
        <v>8</v>
      </c>
      <c r="E655">
        <v>645940</v>
      </c>
      <c r="F655" t="s">
        <v>10</v>
      </c>
    </row>
    <row r="656" spans="1:6" x14ac:dyDescent="0.35">
      <c r="A656">
        <v>6776</v>
      </c>
      <c r="B656" s="1">
        <v>45066</v>
      </c>
      <c r="C656">
        <v>998.17</v>
      </c>
      <c r="D656" t="s">
        <v>6</v>
      </c>
      <c r="E656">
        <v>770532</v>
      </c>
      <c r="F656" t="s">
        <v>10</v>
      </c>
    </row>
    <row r="657" spans="1:6" x14ac:dyDescent="0.35">
      <c r="A657">
        <v>8251</v>
      </c>
      <c r="B657" s="1">
        <v>45066</v>
      </c>
      <c r="C657">
        <v>816.86</v>
      </c>
      <c r="D657" t="s">
        <v>13</v>
      </c>
      <c r="E657">
        <v>970914</v>
      </c>
      <c r="F657" t="s">
        <v>7</v>
      </c>
    </row>
    <row r="658" spans="1:6" x14ac:dyDescent="0.35">
      <c r="A658">
        <v>9615</v>
      </c>
      <c r="B658" s="1">
        <v>45066</v>
      </c>
      <c r="C658">
        <v>704.3</v>
      </c>
      <c r="D658" t="s">
        <v>6</v>
      </c>
      <c r="E658">
        <v>151470</v>
      </c>
      <c r="F658" t="s">
        <v>11</v>
      </c>
    </row>
    <row r="659" spans="1:6" x14ac:dyDescent="0.35">
      <c r="A659">
        <v>3525</v>
      </c>
      <c r="B659" s="1">
        <v>45066</v>
      </c>
      <c r="C659">
        <v>290.3</v>
      </c>
      <c r="D659" t="s">
        <v>13</v>
      </c>
      <c r="E659">
        <v>772036</v>
      </c>
      <c r="F659" t="s">
        <v>11</v>
      </c>
    </row>
    <row r="660" spans="1:6" x14ac:dyDescent="0.35">
      <c r="A660">
        <v>1567</v>
      </c>
      <c r="B660" s="1">
        <v>45066</v>
      </c>
      <c r="C660">
        <v>622.98</v>
      </c>
      <c r="D660" t="s">
        <v>12</v>
      </c>
      <c r="E660">
        <v>778720</v>
      </c>
      <c r="F660" t="s">
        <v>11</v>
      </c>
    </row>
    <row r="661" spans="1:6" x14ac:dyDescent="0.35">
      <c r="A661">
        <v>1025</v>
      </c>
      <c r="B661" s="1">
        <v>45066</v>
      </c>
      <c r="C661">
        <v>359.29</v>
      </c>
      <c r="D661" t="s">
        <v>13</v>
      </c>
      <c r="E661">
        <v>296412</v>
      </c>
      <c r="F661" t="s">
        <v>10</v>
      </c>
    </row>
    <row r="662" spans="1:6" x14ac:dyDescent="0.35">
      <c r="A662">
        <v>2293</v>
      </c>
      <c r="B662" s="1">
        <v>45066</v>
      </c>
      <c r="C662">
        <v>872.13</v>
      </c>
      <c r="D662" t="s">
        <v>12</v>
      </c>
      <c r="E662">
        <v>621841</v>
      </c>
      <c r="F662" t="s">
        <v>9</v>
      </c>
    </row>
    <row r="663" spans="1:6" x14ac:dyDescent="0.35">
      <c r="A663">
        <v>4617</v>
      </c>
      <c r="B663" s="1">
        <v>45066</v>
      </c>
      <c r="C663">
        <v>836.4</v>
      </c>
      <c r="D663" t="s">
        <v>12</v>
      </c>
      <c r="E663">
        <v>220190</v>
      </c>
      <c r="F663" t="s">
        <v>9</v>
      </c>
    </row>
    <row r="664" spans="1:6" x14ac:dyDescent="0.35">
      <c r="A664">
        <v>7825</v>
      </c>
      <c r="B664" s="1">
        <v>45066</v>
      </c>
      <c r="C664">
        <v>642.6</v>
      </c>
      <c r="D664" t="s">
        <v>13</v>
      </c>
      <c r="E664">
        <v>757629</v>
      </c>
      <c r="F664" t="s">
        <v>11</v>
      </c>
    </row>
    <row r="665" spans="1:6" x14ac:dyDescent="0.35">
      <c r="A665">
        <v>9761</v>
      </c>
      <c r="B665" s="1">
        <v>45066</v>
      </c>
      <c r="C665">
        <v>58.1</v>
      </c>
      <c r="D665" t="s">
        <v>8</v>
      </c>
      <c r="E665">
        <v>794125</v>
      </c>
      <c r="F665" t="s">
        <v>10</v>
      </c>
    </row>
    <row r="666" spans="1:6" x14ac:dyDescent="0.35">
      <c r="A666">
        <v>1713</v>
      </c>
      <c r="B666" s="1">
        <v>45067</v>
      </c>
      <c r="C666">
        <v>393.01</v>
      </c>
      <c r="D666" t="s">
        <v>6</v>
      </c>
      <c r="E666">
        <v>365971</v>
      </c>
      <c r="F666" t="s">
        <v>10</v>
      </c>
    </row>
    <row r="667" spans="1:6" x14ac:dyDescent="0.35">
      <c r="A667">
        <v>6822</v>
      </c>
      <c r="B667" s="1">
        <v>45067</v>
      </c>
      <c r="C667">
        <v>309.3</v>
      </c>
      <c r="D667" t="s">
        <v>6</v>
      </c>
      <c r="E667">
        <v>951331</v>
      </c>
      <c r="F667" t="s">
        <v>10</v>
      </c>
    </row>
    <row r="668" spans="1:6" x14ac:dyDescent="0.35">
      <c r="A668">
        <v>6934</v>
      </c>
      <c r="B668" s="1">
        <v>45067</v>
      </c>
      <c r="C668">
        <v>892.66</v>
      </c>
      <c r="D668" t="s">
        <v>13</v>
      </c>
      <c r="E668">
        <v>841666</v>
      </c>
      <c r="F668" t="s">
        <v>9</v>
      </c>
    </row>
    <row r="669" spans="1:6" x14ac:dyDescent="0.35">
      <c r="A669">
        <v>7911</v>
      </c>
      <c r="B669" s="1">
        <v>45067</v>
      </c>
      <c r="C669">
        <v>616.19000000000005</v>
      </c>
      <c r="D669" t="s">
        <v>13</v>
      </c>
      <c r="E669">
        <v>990136</v>
      </c>
      <c r="F669" t="s">
        <v>10</v>
      </c>
    </row>
    <row r="670" spans="1:6" x14ac:dyDescent="0.35">
      <c r="A670">
        <v>2035</v>
      </c>
      <c r="B670" s="1">
        <v>45067</v>
      </c>
      <c r="C670">
        <v>825.62</v>
      </c>
      <c r="D670" t="s">
        <v>6</v>
      </c>
      <c r="E670">
        <v>780776</v>
      </c>
      <c r="F670" t="s">
        <v>7</v>
      </c>
    </row>
    <row r="671" spans="1:6" x14ac:dyDescent="0.35">
      <c r="A671">
        <v>3871</v>
      </c>
      <c r="B671" s="1">
        <v>45067</v>
      </c>
      <c r="C671">
        <v>499.42</v>
      </c>
      <c r="D671" t="s">
        <v>8</v>
      </c>
      <c r="E671">
        <v>311505</v>
      </c>
      <c r="F671" t="s">
        <v>11</v>
      </c>
    </row>
    <row r="672" spans="1:6" x14ac:dyDescent="0.35">
      <c r="A672">
        <v>1185</v>
      </c>
      <c r="B672" s="1">
        <v>45067</v>
      </c>
      <c r="C672">
        <v>209.18</v>
      </c>
      <c r="D672" t="s">
        <v>6</v>
      </c>
      <c r="E672">
        <v>366776</v>
      </c>
      <c r="F672" t="s">
        <v>10</v>
      </c>
    </row>
    <row r="673" spans="1:6" x14ac:dyDescent="0.35">
      <c r="A673">
        <v>3280</v>
      </c>
      <c r="B673" s="1">
        <v>45067</v>
      </c>
      <c r="C673">
        <v>309.8</v>
      </c>
      <c r="D673" t="s">
        <v>6</v>
      </c>
      <c r="E673">
        <v>790658</v>
      </c>
      <c r="F673" t="s">
        <v>9</v>
      </c>
    </row>
    <row r="674" spans="1:6" x14ac:dyDescent="0.35">
      <c r="A674">
        <v>6134</v>
      </c>
      <c r="B674" s="1">
        <v>45067</v>
      </c>
      <c r="C674">
        <v>67.430000000000007</v>
      </c>
      <c r="D674" t="s">
        <v>13</v>
      </c>
      <c r="E674">
        <v>386814</v>
      </c>
      <c r="F674" t="s">
        <v>9</v>
      </c>
    </row>
    <row r="675" spans="1:6" x14ac:dyDescent="0.35">
      <c r="A675">
        <v>5285</v>
      </c>
      <c r="B675" s="1">
        <v>45068</v>
      </c>
      <c r="C675">
        <v>365.96</v>
      </c>
      <c r="D675" t="s">
        <v>12</v>
      </c>
      <c r="E675">
        <v>165142</v>
      </c>
      <c r="F675" t="s">
        <v>10</v>
      </c>
    </row>
    <row r="676" spans="1:6" x14ac:dyDescent="0.35">
      <c r="A676">
        <v>7666</v>
      </c>
      <c r="B676" s="1">
        <v>45068</v>
      </c>
      <c r="C676">
        <v>935.68</v>
      </c>
      <c r="D676" t="s">
        <v>13</v>
      </c>
      <c r="E676">
        <v>600641</v>
      </c>
      <c r="F676" t="s">
        <v>9</v>
      </c>
    </row>
    <row r="677" spans="1:6" x14ac:dyDescent="0.35">
      <c r="A677">
        <v>5350</v>
      </c>
      <c r="B677" s="1">
        <v>45068</v>
      </c>
      <c r="C677">
        <v>785.07</v>
      </c>
      <c r="D677" t="s">
        <v>12</v>
      </c>
      <c r="E677">
        <v>856442</v>
      </c>
      <c r="F677" t="s">
        <v>10</v>
      </c>
    </row>
    <row r="678" spans="1:6" x14ac:dyDescent="0.35">
      <c r="A678">
        <v>7797</v>
      </c>
      <c r="B678" s="1">
        <v>45068</v>
      </c>
      <c r="C678">
        <v>108.03</v>
      </c>
      <c r="D678" t="s">
        <v>13</v>
      </c>
      <c r="E678">
        <v>745558</v>
      </c>
      <c r="F678" t="s">
        <v>7</v>
      </c>
    </row>
    <row r="679" spans="1:6" x14ac:dyDescent="0.35">
      <c r="A679">
        <v>9266</v>
      </c>
      <c r="B679" s="1">
        <v>45068</v>
      </c>
      <c r="C679">
        <v>180.83</v>
      </c>
      <c r="D679" t="s">
        <v>12</v>
      </c>
      <c r="E679">
        <v>841995</v>
      </c>
      <c r="F679" t="s">
        <v>7</v>
      </c>
    </row>
    <row r="680" spans="1:6" x14ac:dyDescent="0.35">
      <c r="A680">
        <v>6499</v>
      </c>
      <c r="B680" s="1">
        <v>45068</v>
      </c>
      <c r="C680">
        <v>98.41</v>
      </c>
      <c r="D680" t="s">
        <v>6</v>
      </c>
      <c r="E680">
        <v>334176</v>
      </c>
      <c r="F680" t="s">
        <v>11</v>
      </c>
    </row>
    <row r="681" spans="1:6" x14ac:dyDescent="0.35">
      <c r="A681">
        <v>4387</v>
      </c>
      <c r="B681" s="1">
        <v>45068</v>
      </c>
      <c r="C681">
        <v>147.19</v>
      </c>
      <c r="D681" t="s">
        <v>12</v>
      </c>
      <c r="E681">
        <v>244818</v>
      </c>
      <c r="F681" t="s">
        <v>11</v>
      </c>
    </row>
    <row r="682" spans="1:6" x14ac:dyDescent="0.35">
      <c r="A682">
        <v>1190</v>
      </c>
      <c r="B682" s="1">
        <v>45068</v>
      </c>
      <c r="C682">
        <v>935.03</v>
      </c>
      <c r="D682" t="s">
        <v>13</v>
      </c>
      <c r="E682">
        <v>993251</v>
      </c>
      <c r="F682" t="s">
        <v>7</v>
      </c>
    </row>
    <row r="683" spans="1:6" x14ac:dyDescent="0.35">
      <c r="A683">
        <v>7275</v>
      </c>
      <c r="B683" s="1">
        <v>45068</v>
      </c>
      <c r="C683">
        <v>490.73</v>
      </c>
      <c r="D683" t="s">
        <v>13</v>
      </c>
      <c r="E683">
        <v>139285</v>
      </c>
      <c r="F683" t="s">
        <v>9</v>
      </c>
    </row>
    <row r="684" spans="1:6" x14ac:dyDescent="0.35">
      <c r="A684">
        <v>1828</v>
      </c>
      <c r="B684" s="1">
        <v>45068</v>
      </c>
      <c r="C684">
        <v>999.29</v>
      </c>
      <c r="D684" t="s">
        <v>8</v>
      </c>
      <c r="E684">
        <v>197793</v>
      </c>
      <c r="F684" t="s">
        <v>9</v>
      </c>
    </row>
    <row r="685" spans="1:6" x14ac:dyDescent="0.35">
      <c r="A685">
        <v>3879</v>
      </c>
      <c r="B685" s="1">
        <v>45068</v>
      </c>
      <c r="C685">
        <v>610.55999999999995</v>
      </c>
      <c r="D685" t="s">
        <v>6</v>
      </c>
      <c r="E685">
        <v>966589</v>
      </c>
      <c r="F685" t="s">
        <v>9</v>
      </c>
    </row>
    <row r="686" spans="1:6" x14ac:dyDescent="0.35">
      <c r="A686">
        <v>7909</v>
      </c>
      <c r="B686" s="1">
        <v>45068</v>
      </c>
      <c r="C686">
        <v>887.26</v>
      </c>
      <c r="D686" t="s">
        <v>12</v>
      </c>
      <c r="E686">
        <v>218548</v>
      </c>
      <c r="F686" t="s">
        <v>9</v>
      </c>
    </row>
    <row r="687" spans="1:6" x14ac:dyDescent="0.35">
      <c r="A687">
        <v>3417</v>
      </c>
      <c r="B687" s="1">
        <v>45068</v>
      </c>
      <c r="C687">
        <v>690.75</v>
      </c>
      <c r="D687" t="s">
        <v>8</v>
      </c>
      <c r="E687">
        <v>916232</v>
      </c>
      <c r="F687" t="s">
        <v>7</v>
      </c>
    </row>
    <row r="688" spans="1:6" x14ac:dyDescent="0.35">
      <c r="A688">
        <v>4483</v>
      </c>
      <c r="B688" s="1">
        <v>45068</v>
      </c>
      <c r="C688">
        <v>504.24</v>
      </c>
      <c r="D688" t="s">
        <v>13</v>
      </c>
      <c r="E688">
        <v>249811</v>
      </c>
      <c r="F688" t="s">
        <v>11</v>
      </c>
    </row>
    <row r="689" spans="1:6" x14ac:dyDescent="0.35">
      <c r="A689">
        <v>4626</v>
      </c>
      <c r="B689" s="1">
        <v>45068</v>
      </c>
      <c r="C689">
        <v>232.86</v>
      </c>
      <c r="D689" t="s">
        <v>12</v>
      </c>
      <c r="E689">
        <v>382154</v>
      </c>
      <c r="F689" t="s">
        <v>7</v>
      </c>
    </row>
    <row r="690" spans="1:6" x14ac:dyDescent="0.35">
      <c r="A690">
        <v>8504</v>
      </c>
      <c r="B690" s="1">
        <v>45068</v>
      </c>
      <c r="C690">
        <v>964.39</v>
      </c>
      <c r="D690" t="s">
        <v>8</v>
      </c>
      <c r="E690">
        <v>602248</v>
      </c>
      <c r="F690" t="s">
        <v>7</v>
      </c>
    </row>
    <row r="691" spans="1:6" x14ac:dyDescent="0.35">
      <c r="A691">
        <v>5664</v>
      </c>
      <c r="B691" s="1">
        <v>45068</v>
      </c>
      <c r="C691">
        <v>745.5</v>
      </c>
      <c r="D691" t="s">
        <v>6</v>
      </c>
      <c r="E691">
        <v>532961</v>
      </c>
      <c r="F691" t="s">
        <v>9</v>
      </c>
    </row>
    <row r="692" spans="1:6" x14ac:dyDescent="0.35">
      <c r="A692">
        <v>5192</v>
      </c>
      <c r="B692" s="1">
        <v>45068</v>
      </c>
      <c r="C692">
        <v>238.85</v>
      </c>
      <c r="D692" t="s">
        <v>6</v>
      </c>
      <c r="E692">
        <v>376955</v>
      </c>
      <c r="F692" t="s">
        <v>7</v>
      </c>
    </row>
    <row r="693" spans="1:6" x14ac:dyDescent="0.35">
      <c r="A693">
        <v>8982</v>
      </c>
      <c r="B693" s="1">
        <v>45068</v>
      </c>
      <c r="C693">
        <v>324.11</v>
      </c>
      <c r="D693" t="s">
        <v>6</v>
      </c>
      <c r="E693">
        <v>334081</v>
      </c>
      <c r="F693" t="s">
        <v>9</v>
      </c>
    </row>
    <row r="694" spans="1:6" x14ac:dyDescent="0.35">
      <c r="A694">
        <v>8758</v>
      </c>
      <c r="B694" s="1">
        <v>45069</v>
      </c>
      <c r="C694">
        <v>123.25</v>
      </c>
      <c r="D694" t="s">
        <v>12</v>
      </c>
      <c r="E694">
        <v>587623</v>
      </c>
      <c r="F694" t="s">
        <v>11</v>
      </c>
    </row>
    <row r="695" spans="1:6" x14ac:dyDescent="0.35">
      <c r="A695">
        <v>2229</v>
      </c>
      <c r="B695" s="1">
        <v>45069</v>
      </c>
      <c r="C695">
        <v>641.14</v>
      </c>
      <c r="D695" t="s">
        <v>6</v>
      </c>
      <c r="E695">
        <v>638009</v>
      </c>
      <c r="F695" t="s">
        <v>9</v>
      </c>
    </row>
    <row r="696" spans="1:6" x14ac:dyDescent="0.35">
      <c r="A696">
        <v>8493</v>
      </c>
      <c r="B696" s="1">
        <v>45069</v>
      </c>
      <c r="C696">
        <v>593.41999999999996</v>
      </c>
      <c r="D696" t="s">
        <v>12</v>
      </c>
      <c r="E696">
        <v>623059</v>
      </c>
      <c r="F696" t="s">
        <v>10</v>
      </c>
    </row>
    <row r="697" spans="1:6" x14ac:dyDescent="0.35">
      <c r="A697">
        <v>5762</v>
      </c>
      <c r="B697" s="1">
        <v>45069</v>
      </c>
      <c r="C697">
        <v>76.69</v>
      </c>
      <c r="D697" t="s">
        <v>8</v>
      </c>
      <c r="E697">
        <v>307007</v>
      </c>
      <c r="F697" t="s">
        <v>7</v>
      </c>
    </row>
    <row r="698" spans="1:6" x14ac:dyDescent="0.35">
      <c r="A698">
        <v>7078</v>
      </c>
      <c r="B698" s="1">
        <v>45069</v>
      </c>
      <c r="C698">
        <v>949.89</v>
      </c>
      <c r="D698" t="s">
        <v>13</v>
      </c>
      <c r="E698">
        <v>715870</v>
      </c>
      <c r="F698" t="s">
        <v>9</v>
      </c>
    </row>
    <row r="699" spans="1:6" x14ac:dyDescent="0.35">
      <c r="A699">
        <v>3535</v>
      </c>
      <c r="B699" s="1">
        <v>45069</v>
      </c>
      <c r="C699">
        <v>487.37</v>
      </c>
      <c r="D699" t="s">
        <v>8</v>
      </c>
      <c r="E699">
        <v>467121</v>
      </c>
      <c r="F699" t="s">
        <v>11</v>
      </c>
    </row>
    <row r="700" spans="1:6" x14ac:dyDescent="0.35">
      <c r="A700">
        <v>6400</v>
      </c>
      <c r="B700" s="1">
        <v>45069</v>
      </c>
      <c r="C700">
        <v>131.01</v>
      </c>
      <c r="D700" t="s">
        <v>6</v>
      </c>
      <c r="E700">
        <v>797660</v>
      </c>
      <c r="F700" t="s">
        <v>7</v>
      </c>
    </row>
    <row r="701" spans="1:6" x14ac:dyDescent="0.35">
      <c r="A701">
        <v>5088</v>
      </c>
      <c r="B701" s="1">
        <v>45069</v>
      </c>
      <c r="C701">
        <v>111.77</v>
      </c>
      <c r="D701" t="s">
        <v>13</v>
      </c>
      <c r="E701">
        <v>750810</v>
      </c>
      <c r="F701" t="s">
        <v>9</v>
      </c>
    </row>
    <row r="702" spans="1:6" x14ac:dyDescent="0.35">
      <c r="A702">
        <v>9621</v>
      </c>
      <c r="B702" s="1">
        <v>45069</v>
      </c>
      <c r="C702">
        <v>256.27999999999997</v>
      </c>
      <c r="D702" t="s">
        <v>12</v>
      </c>
      <c r="E702">
        <v>685549</v>
      </c>
      <c r="F702" t="s">
        <v>7</v>
      </c>
    </row>
    <row r="703" spans="1:6" x14ac:dyDescent="0.35">
      <c r="A703">
        <v>3804</v>
      </c>
      <c r="B703" s="1">
        <v>45069</v>
      </c>
      <c r="C703">
        <v>628.23</v>
      </c>
      <c r="D703" t="s">
        <v>6</v>
      </c>
      <c r="E703">
        <v>983456</v>
      </c>
      <c r="F703" t="s">
        <v>10</v>
      </c>
    </row>
    <row r="704" spans="1:6" x14ac:dyDescent="0.35">
      <c r="A704">
        <v>5060</v>
      </c>
      <c r="B704" s="1">
        <v>45069</v>
      </c>
      <c r="C704">
        <v>248.74</v>
      </c>
      <c r="D704" t="s">
        <v>8</v>
      </c>
      <c r="E704">
        <v>901164</v>
      </c>
      <c r="F704" t="s">
        <v>9</v>
      </c>
    </row>
    <row r="705" spans="1:6" x14ac:dyDescent="0.35">
      <c r="A705">
        <v>9538</v>
      </c>
      <c r="B705" s="1">
        <v>45069</v>
      </c>
      <c r="C705">
        <v>982.29</v>
      </c>
      <c r="D705" t="s">
        <v>13</v>
      </c>
      <c r="E705">
        <v>508024</v>
      </c>
      <c r="F705" t="s">
        <v>11</v>
      </c>
    </row>
    <row r="706" spans="1:6" x14ac:dyDescent="0.35">
      <c r="A706">
        <v>2501</v>
      </c>
      <c r="B706" s="1">
        <v>45069</v>
      </c>
      <c r="C706">
        <v>219.98</v>
      </c>
      <c r="D706" t="s">
        <v>8</v>
      </c>
      <c r="E706">
        <v>153035</v>
      </c>
      <c r="F706" t="s">
        <v>11</v>
      </c>
    </row>
    <row r="707" spans="1:6" x14ac:dyDescent="0.35">
      <c r="A707">
        <v>2879</v>
      </c>
      <c r="B707" s="1">
        <v>45069</v>
      </c>
      <c r="C707">
        <v>352.55</v>
      </c>
      <c r="D707" t="s">
        <v>12</v>
      </c>
      <c r="E707">
        <v>773462</v>
      </c>
      <c r="F707" t="s">
        <v>9</v>
      </c>
    </row>
    <row r="708" spans="1:6" x14ac:dyDescent="0.35">
      <c r="A708">
        <v>5298</v>
      </c>
      <c r="B708" s="1">
        <v>45069</v>
      </c>
      <c r="C708">
        <v>864.01</v>
      </c>
      <c r="D708" t="s">
        <v>6</v>
      </c>
      <c r="E708">
        <v>725969</v>
      </c>
      <c r="F708" t="s">
        <v>7</v>
      </c>
    </row>
    <row r="709" spans="1:6" x14ac:dyDescent="0.35">
      <c r="A709">
        <v>1653</v>
      </c>
      <c r="B709" s="1">
        <v>45070</v>
      </c>
      <c r="C709">
        <v>886.8</v>
      </c>
      <c r="D709" t="s">
        <v>13</v>
      </c>
      <c r="E709">
        <v>934883</v>
      </c>
      <c r="F709" t="s">
        <v>10</v>
      </c>
    </row>
    <row r="710" spans="1:6" x14ac:dyDescent="0.35">
      <c r="A710">
        <v>4750</v>
      </c>
      <c r="B710" s="1">
        <v>45070</v>
      </c>
      <c r="C710">
        <v>837.6</v>
      </c>
      <c r="D710" t="s">
        <v>8</v>
      </c>
      <c r="E710">
        <v>901909</v>
      </c>
      <c r="F710" t="s">
        <v>11</v>
      </c>
    </row>
    <row r="711" spans="1:6" x14ac:dyDescent="0.35">
      <c r="A711">
        <v>8575</v>
      </c>
      <c r="B711" s="1">
        <v>45070</v>
      </c>
      <c r="C711">
        <v>808.85</v>
      </c>
      <c r="D711" t="s">
        <v>8</v>
      </c>
      <c r="E711">
        <v>515182</v>
      </c>
      <c r="F711" t="s">
        <v>11</v>
      </c>
    </row>
    <row r="712" spans="1:6" x14ac:dyDescent="0.35">
      <c r="A712">
        <v>5890</v>
      </c>
      <c r="B712" s="1">
        <v>45070</v>
      </c>
      <c r="C712">
        <v>117.02</v>
      </c>
      <c r="D712" t="s">
        <v>8</v>
      </c>
      <c r="E712">
        <v>452618</v>
      </c>
      <c r="F712" t="s">
        <v>11</v>
      </c>
    </row>
    <row r="713" spans="1:6" x14ac:dyDescent="0.35">
      <c r="A713">
        <v>1193</v>
      </c>
      <c r="B713" s="1">
        <v>45070</v>
      </c>
      <c r="C713">
        <v>218.64</v>
      </c>
      <c r="D713" t="s">
        <v>8</v>
      </c>
      <c r="E713">
        <v>441244</v>
      </c>
      <c r="F713" t="s">
        <v>11</v>
      </c>
    </row>
    <row r="714" spans="1:6" x14ac:dyDescent="0.35">
      <c r="A714">
        <v>2791</v>
      </c>
      <c r="B714" s="1">
        <v>45070</v>
      </c>
      <c r="C714">
        <v>802.05</v>
      </c>
      <c r="D714" t="s">
        <v>12</v>
      </c>
      <c r="E714">
        <v>641058</v>
      </c>
      <c r="F714" t="s">
        <v>9</v>
      </c>
    </row>
    <row r="715" spans="1:6" x14ac:dyDescent="0.35">
      <c r="A715">
        <v>6236</v>
      </c>
      <c r="B715" s="1">
        <v>45070</v>
      </c>
      <c r="C715">
        <v>148.53</v>
      </c>
      <c r="D715" t="s">
        <v>8</v>
      </c>
      <c r="E715">
        <v>787237</v>
      </c>
      <c r="F715" t="s">
        <v>7</v>
      </c>
    </row>
    <row r="716" spans="1:6" x14ac:dyDescent="0.35">
      <c r="A716">
        <v>8517</v>
      </c>
      <c r="B716" s="1">
        <v>45070</v>
      </c>
      <c r="C716">
        <v>466.11</v>
      </c>
      <c r="D716" t="s">
        <v>8</v>
      </c>
      <c r="E716">
        <v>605382</v>
      </c>
      <c r="F716" t="s">
        <v>10</v>
      </c>
    </row>
    <row r="717" spans="1:6" x14ac:dyDescent="0.35">
      <c r="A717">
        <v>2679</v>
      </c>
      <c r="B717" s="1">
        <v>45070</v>
      </c>
      <c r="C717">
        <v>743.26</v>
      </c>
      <c r="D717" t="s">
        <v>8</v>
      </c>
      <c r="E717">
        <v>719176</v>
      </c>
      <c r="F717" t="s">
        <v>7</v>
      </c>
    </row>
    <row r="718" spans="1:6" x14ac:dyDescent="0.35">
      <c r="A718">
        <v>7984</v>
      </c>
      <c r="B718" s="1">
        <v>45070</v>
      </c>
      <c r="C718">
        <v>116.88</v>
      </c>
      <c r="D718" t="s">
        <v>13</v>
      </c>
      <c r="E718">
        <v>177060</v>
      </c>
      <c r="F718" t="s">
        <v>10</v>
      </c>
    </row>
    <row r="719" spans="1:6" x14ac:dyDescent="0.35">
      <c r="A719">
        <v>5106</v>
      </c>
      <c r="B719" s="1">
        <v>45070</v>
      </c>
      <c r="C719">
        <v>758.02</v>
      </c>
      <c r="D719" t="s">
        <v>12</v>
      </c>
      <c r="E719">
        <v>758765</v>
      </c>
      <c r="F719" t="s">
        <v>10</v>
      </c>
    </row>
    <row r="720" spans="1:6" x14ac:dyDescent="0.35">
      <c r="A720">
        <v>7179</v>
      </c>
      <c r="B720" s="1">
        <v>45070</v>
      </c>
      <c r="C720">
        <v>608.91999999999996</v>
      </c>
      <c r="D720" t="s">
        <v>8</v>
      </c>
      <c r="E720">
        <v>176319</v>
      </c>
      <c r="F720" t="s">
        <v>9</v>
      </c>
    </row>
    <row r="721" spans="1:6" x14ac:dyDescent="0.35">
      <c r="A721">
        <v>9510</v>
      </c>
      <c r="B721" s="1">
        <v>45070</v>
      </c>
      <c r="C721">
        <v>450.62</v>
      </c>
      <c r="D721" t="s">
        <v>8</v>
      </c>
      <c r="E721">
        <v>829386</v>
      </c>
      <c r="F721" t="s">
        <v>11</v>
      </c>
    </row>
    <row r="722" spans="1:6" x14ac:dyDescent="0.35">
      <c r="A722">
        <v>4598</v>
      </c>
      <c r="B722" s="1">
        <v>45070</v>
      </c>
      <c r="C722">
        <v>331.04</v>
      </c>
      <c r="D722" t="s">
        <v>8</v>
      </c>
      <c r="E722">
        <v>340174</v>
      </c>
      <c r="F722" t="s">
        <v>10</v>
      </c>
    </row>
    <row r="723" spans="1:6" x14ac:dyDescent="0.35">
      <c r="A723">
        <v>6298</v>
      </c>
      <c r="B723" s="1">
        <v>45070</v>
      </c>
      <c r="C723">
        <v>924.9</v>
      </c>
      <c r="D723" t="s">
        <v>8</v>
      </c>
      <c r="E723">
        <v>217996</v>
      </c>
      <c r="F723" t="s">
        <v>7</v>
      </c>
    </row>
    <row r="724" spans="1:6" x14ac:dyDescent="0.35">
      <c r="A724">
        <v>7211</v>
      </c>
      <c r="B724" s="1">
        <v>45070</v>
      </c>
      <c r="C724">
        <v>750.65</v>
      </c>
      <c r="D724" t="s">
        <v>12</v>
      </c>
      <c r="E724">
        <v>745414</v>
      </c>
      <c r="F724" t="s">
        <v>11</v>
      </c>
    </row>
    <row r="725" spans="1:6" x14ac:dyDescent="0.35">
      <c r="A725">
        <v>8244</v>
      </c>
      <c r="B725" s="1">
        <v>45070</v>
      </c>
      <c r="C725">
        <v>221.56</v>
      </c>
      <c r="D725" t="s">
        <v>13</v>
      </c>
      <c r="E725">
        <v>932291</v>
      </c>
      <c r="F725" t="s">
        <v>9</v>
      </c>
    </row>
    <row r="726" spans="1:6" x14ac:dyDescent="0.35">
      <c r="A726">
        <v>7116</v>
      </c>
      <c r="B726" s="1">
        <v>45071</v>
      </c>
      <c r="C726">
        <v>149.94</v>
      </c>
      <c r="D726" t="s">
        <v>13</v>
      </c>
      <c r="E726">
        <v>538555</v>
      </c>
      <c r="F726" t="s">
        <v>9</v>
      </c>
    </row>
    <row r="727" spans="1:6" x14ac:dyDescent="0.35">
      <c r="A727">
        <v>6644</v>
      </c>
      <c r="B727" s="1">
        <v>45071</v>
      </c>
      <c r="C727">
        <v>73.12</v>
      </c>
      <c r="D727" t="s">
        <v>8</v>
      </c>
      <c r="E727">
        <v>172371</v>
      </c>
      <c r="F727" t="s">
        <v>7</v>
      </c>
    </row>
    <row r="728" spans="1:6" x14ac:dyDescent="0.35">
      <c r="A728">
        <v>5477</v>
      </c>
      <c r="B728" s="1">
        <v>45071</v>
      </c>
      <c r="C728">
        <v>764.79</v>
      </c>
      <c r="D728" t="s">
        <v>6</v>
      </c>
      <c r="E728">
        <v>468074</v>
      </c>
      <c r="F728" t="s">
        <v>10</v>
      </c>
    </row>
    <row r="729" spans="1:6" x14ac:dyDescent="0.35">
      <c r="A729">
        <v>2999</v>
      </c>
      <c r="B729" s="1">
        <v>45071</v>
      </c>
      <c r="C729">
        <v>860.81</v>
      </c>
      <c r="D729" t="s">
        <v>6</v>
      </c>
      <c r="E729">
        <v>652654</v>
      </c>
      <c r="F729" t="s">
        <v>7</v>
      </c>
    </row>
    <row r="730" spans="1:6" x14ac:dyDescent="0.35">
      <c r="A730">
        <v>6431</v>
      </c>
      <c r="B730" s="1">
        <v>45071</v>
      </c>
      <c r="C730">
        <v>245.2</v>
      </c>
      <c r="D730" t="s">
        <v>13</v>
      </c>
      <c r="E730">
        <v>381631</v>
      </c>
      <c r="F730" t="s">
        <v>11</v>
      </c>
    </row>
    <row r="731" spans="1:6" x14ac:dyDescent="0.35">
      <c r="A731">
        <v>6890</v>
      </c>
      <c r="B731" s="1">
        <v>45071</v>
      </c>
      <c r="C731">
        <v>896.55</v>
      </c>
      <c r="D731" t="s">
        <v>8</v>
      </c>
      <c r="E731">
        <v>214682</v>
      </c>
      <c r="F731" t="s">
        <v>9</v>
      </c>
    </row>
    <row r="732" spans="1:6" x14ac:dyDescent="0.35">
      <c r="A732">
        <v>3521</v>
      </c>
      <c r="B732" s="1">
        <v>45071</v>
      </c>
      <c r="C732">
        <v>540.99</v>
      </c>
      <c r="D732" t="s">
        <v>8</v>
      </c>
      <c r="E732">
        <v>231939</v>
      </c>
      <c r="F732" t="s">
        <v>7</v>
      </c>
    </row>
    <row r="733" spans="1:6" x14ac:dyDescent="0.35">
      <c r="A733">
        <v>2669</v>
      </c>
      <c r="B733" s="1">
        <v>45071</v>
      </c>
      <c r="C733">
        <v>774.76</v>
      </c>
      <c r="D733" t="s">
        <v>8</v>
      </c>
      <c r="E733">
        <v>934904</v>
      </c>
      <c r="F733" t="s">
        <v>10</v>
      </c>
    </row>
    <row r="734" spans="1:6" x14ac:dyDescent="0.35">
      <c r="A734">
        <v>7939</v>
      </c>
      <c r="B734" s="1">
        <v>45071</v>
      </c>
      <c r="C734">
        <v>408.25</v>
      </c>
      <c r="D734" t="s">
        <v>12</v>
      </c>
      <c r="E734">
        <v>390946</v>
      </c>
      <c r="F734" t="s">
        <v>10</v>
      </c>
    </row>
    <row r="735" spans="1:6" x14ac:dyDescent="0.35">
      <c r="A735">
        <v>9892</v>
      </c>
      <c r="B735" s="1">
        <v>45071</v>
      </c>
      <c r="C735">
        <v>495.19</v>
      </c>
      <c r="D735" t="s">
        <v>12</v>
      </c>
      <c r="E735">
        <v>670027</v>
      </c>
      <c r="F735" t="s">
        <v>11</v>
      </c>
    </row>
    <row r="736" spans="1:6" x14ac:dyDescent="0.35">
      <c r="A736">
        <v>4090</v>
      </c>
      <c r="B736" s="1">
        <v>45071</v>
      </c>
      <c r="C736">
        <v>246.42</v>
      </c>
      <c r="D736" t="s">
        <v>13</v>
      </c>
      <c r="E736">
        <v>344907</v>
      </c>
      <c r="F736" t="s">
        <v>7</v>
      </c>
    </row>
    <row r="737" spans="1:6" x14ac:dyDescent="0.35">
      <c r="A737">
        <v>3248</v>
      </c>
      <c r="B737" s="1">
        <v>45071</v>
      </c>
      <c r="C737">
        <v>21.24</v>
      </c>
      <c r="D737" t="s">
        <v>13</v>
      </c>
      <c r="E737">
        <v>463546</v>
      </c>
      <c r="F737" t="s">
        <v>11</v>
      </c>
    </row>
    <row r="738" spans="1:6" x14ac:dyDescent="0.35">
      <c r="A738">
        <v>6008</v>
      </c>
      <c r="B738" s="1">
        <v>45071</v>
      </c>
      <c r="C738">
        <v>588.33000000000004</v>
      </c>
      <c r="D738" t="s">
        <v>6</v>
      </c>
      <c r="E738">
        <v>946934</v>
      </c>
      <c r="F738" t="s">
        <v>11</v>
      </c>
    </row>
    <row r="739" spans="1:6" x14ac:dyDescent="0.35">
      <c r="A739">
        <v>2195</v>
      </c>
      <c r="B739" s="1">
        <v>45071</v>
      </c>
      <c r="C739">
        <v>69.31</v>
      </c>
      <c r="D739" t="s">
        <v>13</v>
      </c>
      <c r="E739">
        <v>535810</v>
      </c>
      <c r="F739" t="s">
        <v>7</v>
      </c>
    </row>
    <row r="740" spans="1:6" x14ac:dyDescent="0.35">
      <c r="A740">
        <v>4974</v>
      </c>
      <c r="B740" s="1">
        <v>45071</v>
      </c>
      <c r="C740">
        <v>608.36</v>
      </c>
      <c r="D740" t="s">
        <v>12</v>
      </c>
      <c r="E740">
        <v>515898</v>
      </c>
      <c r="F740" t="s">
        <v>9</v>
      </c>
    </row>
    <row r="741" spans="1:6" x14ac:dyDescent="0.35">
      <c r="A741">
        <v>8612</v>
      </c>
      <c r="B741" s="1">
        <v>45071</v>
      </c>
      <c r="C741">
        <v>483.75</v>
      </c>
      <c r="D741" t="s">
        <v>12</v>
      </c>
      <c r="E741">
        <v>950916</v>
      </c>
      <c r="F741" t="s">
        <v>9</v>
      </c>
    </row>
    <row r="742" spans="1:6" x14ac:dyDescent="0.35">
      <c r="A742">
        <v>4920</v>
      </c>
      <c r="B742" s="1">
        <v>45072</v>
      </c>
      <c r="C742">
        <v>166.79</v>
      </c>
      <c r="D742" t="s">
        <v>8</v>
      </c>
      <c r="E742">
        <v>679077</v>
      </c>
      <c r="F742" t="s">
        <v>7</v>
      </c>
    </row>
    <row r="743" spans="1:6" x14ac:dyDescent="0.35">
      <c r="A743">
        <v>7626</v>
      </c>
      <c r="B743" s="1">
        <v>45072</v>
      </c>
      <c r="C743">
        <v>643.74</v>
      </c>
      <c r="D743" t="s">
        <v>6</v>
      </c>
      <c r="E743">
        <v>220768</v>
      </c>
      <c r="F743" t="s">
        <v>7</v>
      </c>
    </row>
    <row r="744" spans="1:6" x14ac:dyDescent="0.35">
      <c r="A744">
        <v>6582</v>
      </c>
      <c r="B744" s="1">
        <v>45072</v>
      </c>
      <c r="C744">
        <v>185.69</v>
      </c>
      <c r="D744" t="s">
        <v>6</v>
      </c>
      <c r="E744">
        <v>162448</v>
      </c>
      <c r="F744" t="s">
        <v>10</v>
      </c>
    </row>
    <row r="745" spans="1:6" x14ac:dyDescent="0.35">
      <c r="A745">
        <v>2691</v>
      </c>
      <c r="B745" s="1">
        <v>45072</v>
      </c>
      <c r="C745">
        <v>968.76</v>
      </c>
      <c r="D745" t="s">
        <v>6</v>
      </c>
      <c r="E745">
        <v>975427</v>
      </c>
      <c r="F745" t="s">
        <v>11</v>
      </c>
    </row>
    <row r="746" spans="1:6" x14ac:dyDescent="0.35">
      <c r="A746">
        <v>5215</v>
      </c>
      <c r="B746" s="1">
        <v>45072</v>
      </c>
      <c r="C746">
        <v>194.34</v>
      </c>
      <c r="D746" t="s">
        <v>6</v>
      </c>
      <c r="E746">
        <v>929179</v>
      </c>
      <c r="F746" t="s">
        <v>11</v>
      </c>
    </row>
    <row r="747" spans="1:6" x14ac:dyDescent="0.35">
      <c r="A747">
        <v>4812</v>
      </c>
      <c r="B747" s="1">
        <v>45072</v>
      </c>
      <c r="C747">
        <v>297.58</v>
      </c>
      <c r="D747" t="s">
        <v>12</v>
      </c>
      <c r="E747">
        <v>101657</v>
      </c>
      <c r="F747" t="s">
        <v>10</v>
      </c>
    </row>
    <row r="748" spans="1:6" x14ac:dyDescent="0.35">
      <c r="A748">
        <v>9331</v>
      </c>
      <c r="B748" s="1">
        <v>45072</v>
      </c>
      <c r="C748">
        <v>108.61</v>
      </c>
      <c r="D748" t="s">
        <v>6</v>
      </c>
      <c r="E748">
        <v>608205</v>
      </c>
      <c r="F748" t="s">
        <v>10</v>
      </c>
    </row>
    <row r="749" spans="1:6" x14ac:dyDescent="0.35">
      <c r="A749">
        <v>2033</v>
      </c>
      <c r="B749" s="1">
        <v>45072</v>
      </c>
      <c r="C749">
        <v>778.43</v>
      </c>
      <c r="D749" t="s">
        <v>13</v>
      </c>
      <c r="E749">
        <v>138780</v>
      </c>
      <c r="F749" t="s">
        <v>11</v>
      </c>
    </row>
    <row r="750" spans="1:6" x14ac:dyDescent="0.35">
      <c r="A750">
        <v>8640</v>
      </c>
      <c r="B750" s="1">
        <v>45072</v>
      </c>
      <c r="C750">
        <v>938.12</v>
      </c>
      <c r="D750" t="s">
        <v>8</v>
      </c>
      <c r="E750">
        <v>261169</v>
      </c>
      <c r="F750" t="s">
        <v>11</v>
      </c>
    </row>
    <row r="751" spans="1:6" x14ac:dyDescent="0.35">
      <c r="A751">
        <v>7809</v>
      </c>
      <c r="B751" s="1">
        <v>45072</v>
      </c>
      <c r="C751">
        <v>841.49</v>
      </c>
      <c r="D751" t="s">
        <v>13</v>
      </c>
      <c r="E751">
        <v>275377</v>
      </c>
      <c r="F751" t="s">
        <v>10</v>
      </c>
    </row>
    <row r="752" spans="1:6" x14ac:dyDescent="0.35">
      <c r="A752">
        <v>4257</v>
      </c>
      <c r="B752" s="1">
        <v>45072</v>
      </c>
      <c r="C752">
        <v>653.39</v>
      </c>
      <c r="D752" t="s">
        <v>13</v>
      </c>
      <c r="E752">
        <v>331148</v>
      </c>
      <c r="F752" t="s">
        <v>7</v>
      </c>
    </row>
    <row r="753" spans="1:6" x14ac:dyDescent="0.35">
      <c r="A753">
        <v>5735</v>
      </c>
      <c r="B753" s="1">
        <v>45072</v>
      </c>
      <c r="C753">
        <v>215.21</v>
      </c>
      <c r="D753" t="s">
        <v>13</v>
      </c>
      <c r="E753">
        <v>432441</v>
      </c>
      <c r="F753" t="s">
        <v>7</v>
      </c>
    </row>
    <row r="754" spans="1:6" x14ac:dyDescent="0.35">
      <c r="A754">
        <v>3173</v>
      </c>
      <c r="B754" s="1">
        <v>45072</v>
      </c>
      <c r="C754">
        <v>653.59</v>
      </c>
      <c r="D754" t="s">
        <v>12</v>
      </c>
      <c r="E754">
        <v>628370</v>
      </c>
      <c r="F754" t="s">
        <v>11</v>
      </c>
    </row>
    <row r="755" spans="1:6" x14ac:dyDescent="0.35">
      <c r="A755">
        <v>5308</v>
      </c>
      <c r="B755" s="1">
        <v>45072</v>
      </c>
      <c r="C755">
        <v>975.3</v>
      </c>
      <c r="D755" t="s">
        <v>8</v>
      </c>
      <c r="E755">
        <v>620248</v>
      </c>
      <c r="F755" t="s">
        <v>7</v>
      </c>
    </row>
    <row r="756" spans="1:6" x14ac:dyDescent="0.35">
      <c r="A756">
        <v>6411</v>
      </c>
      <c r="B756" s="1">
        <v>45072</v>
      </c>
      <c r="C756">
        <v>477.68</v>
      </c>
      <c r="D756" t="s">
        <v>12</v>
      </c>
      <c r="E756">
        <v>105433</v>
      </c>
      <c r="F756" t="s">
        <v>9</v>
      </c>
    </row>
    <row r="757" spans="1:6" x14ac:dyDescent="0.35">
      <c r="A757">
        <v>4185</v>
      </c>
      <c r="B757" s="1">
        <v>45072</v>
      </c>
      <c r="C757">
        <v>699.39</v>
      </c>
      <c r="D757" t="s">
        <v>13</v>
      </c>
      <c r="E757">
        <v>519066</v>
      </c>
      <c r="F757" t="s">
        <v>9</v>
      </c>
    </row>
    <row r="758" spans="1:6" x14ac:dyDescent="0.35">
      <c r="A758">
        <v>6302</v>
      </c>
      <c r="B758" s="1">
        <v>45072</v>
      </c>
      <c r="C758">
        <v>299.70999999999998</v>
      </c>
      <c r="D758" t="s">
        <v>6</v>
      </c>
      <c r="E758">
        <v>999695</v>
      </c>
      <c r="F758" t="s">
        <v>10</v>
      </c>
    </row>
    <row r="759" spans="1:6" x14ac:dyDescent="0.35">
      <c r="A759">
        <v>6071</v>
      </c>
      <c r="B759" s="1">
        <v>45073</v>
      </c>
      <c r="C759">
        <v>770.94</v>
      </c>
      <c r="D759" t="s">
        <v>13</v>
      </c>
      <c r="E759">
        <v>402808</v>
      </c>
      <c r="F759" t="s">
        <v>9</v>
      </c>
    </row>
    <row r="760" spans="1:6" x14ac:dyDescent="0.35">
      <c r="A760">
        <v>3747</v>
      </c>
      <c r="B760" s="1">
        <v>45073</v>
      </c>
      <c r="C760">
        <v>688.74</v>
      </c>
      <c r="D760" t="s">
        <v>13</v>
      </c>
      <c r="E760">
        <v>725510</v>
      </c>
      <c r="F760" t="s">
        <v>10</v>
      </c>
    </row>
    <row r="761" spans="1:6" x14ac:dyDescent="0.35">
      <c r="A761">
        <v>1711</v>
      </c>
      <c r="B761" s="1">
        <v>45073</v>
      </c>
      <c r="C761">
        <v>464.83</v>
      </c>
      <c r="D761" t="s">
        <v>8</v>
      </c>
      <c r="E761">
        <v>496922</v>
      </c>
      <c r="F761" t="s">
        <v>10</v>
      </c>
    </row>
    <row r="762" spans="1:6" x14ac:dyDescent="0.35">
      <c r="A762">
        <v>8924</v>
      </c>
      <c r="B762" s="1">
        <v>45073</v>
      </c>
      <c r="C762">
        <v>691.77</v>
      </c>
      <c r="D762" t="s">
        <v>6</v>
      </c>
      <c r="E762">
        <v>547798</v>
      </c>
      <c r="F762" t="s">
        <v>11</v>
      </c>
    </row>
    <row r="763" spans="1:6" x14ac:dyDescent="0.35">
      <c r="A763">
        <v>9514</v>
      </c>
      <c r="B763" s="1">
        <v>45073</v>
      </c>
      <c r="C763">
        <v>635.54</v>
      </c>
      <c r="D763" t="s">
        <v>13</v>
      </c>
      <c r="E763">
        <v>947228</v>
      </c>
      <c r="F763" t="s">
        <v>9</v>
      </c>
    </row>
    <row r="764" spans="1:6" x14ac:dyDescent="0.35">
      <c r="A764">
        <v>9751</v>
      </c>
      <c r="B764" s="1">
        <v>45073</v>
      </c>
      <c r="C764">
        <v>252.36</v>
      </c>
      <c r="D764" t="s">
        <v>13</v>
      </c>
      <c r="E764">
        <v>497887</v>
      </c>
      <c r="F764" t="s">
        <v>11</v>
      </c>
    </row>
    <row r="765" spans="1:6" x14ac:dyDescent="0.35">
      <c r="A765">
        <v>6005</v>
      </c>
      <c r="B765" s="1">
        <v>45073</v>
      </c>
      <c r="C765">
        <v>702.45</v>
      </c>
      <c r="D765" t="s">
        <v>12</v>
      </c>
      <c r="E765">
        <v>550081</v>
      </c>
      <c r="F765" t="s">
        <v>10</v>
      </c>
    </row>
    <row r="766" spans="1:6" x14ac:dyDescent="0.35">
      <c r="A766">
        <v>2526</v>
      </c>
      <c r="B766" s="1">
        <v>45073</v>
      </c>
      <c r="C766">
        <v>972.43</v>
      </c>
      <c r="D766" t="s">
        <v>6</v>
      </c>
      <c r="E766">
        <v>991401</v>
      </c>
      <c r="F766" t="s">
        <v>10</v>
      </c>
    </row>
    <row r="767" spans="1:6" x14ac:dyDescent="0.35">
      <c r="A767">
        <v>2438</v>
      </c>
      <c r="B767" s="1">
        <v>45073</v>
      </c>
      <c r="C767">
        <v>388.39</v>
      </c>
      <c r="D767" t="s">
        <v>12</v>
      </c>
      <c r="E767">
        <v>537605</v>
      </c>
      <c r="F767" t="s">
        <v>9</v>
      </c>
    </row>
    <row r="768" spans="1:6" x14ac:dyDescent="0.35">
      <c r="A768">
        <v>3041</v>
      </c>
      <c r="B768" s="1">
        <v>45073</v>
      </c>
      <c r="C768">
        <v>901.05</v>
      </c>
      <c r="D768" t="s">
        <v>6</v>
      </c>
      <c r="E768">
        <v>799287</v>
      </c>
      <c r="F768" t="s">
        <v>7</v>
      </c>
    </row>
    <row r="769" spans="1:6" x14ac:dyDescent="0.35">
      <c r="A769">
        <v>9673</v>
      </c>
      <c r="B769" s="1">
        <v>45073</v>
      </c>
      <c r="C769">
        <v>281.99</v>
      </c>
      <c r="D769" t="s">
        <v>6</v>
      </c>
      <c r="E769">
        <v>117975</v>
      </c>
      <c r="F769" t="s">
        <v>7</v>
      </c>
    </row>
    <row r="770" spans="1:6" x14ac:dyDescent="0.35">
      <c r="A770">
        <v>1612</v>
      </c>
      <c r="B770" s="1">
        <v>45073</v>
      </c>
      <c r="C770">
        <v>810.26</v>
      </c>
      <c r="D770" t="s">
        <v>13</v>
      </c>
      <c r="E770">
        <v>182289</v>
      </c>
      <c r="F770" t="s">
        <v>10</v>
      </c>
    </row>
    <row r="771" spans="1:6" x14ac:dyDescent="0.35">
      <c r="A771">
        <v>4562</v>
      </c>
      <c r="B771" s="1">
        <v>45073</v>
      </c>
      <c r="C771">
        <v>86.43</v>
      </c>
      <c r="D771" t="s">
        <v>6</v>
      </c>
      <c r="E771">
        <v>931420</v>
      </c>
      <c r="F771" t="s">
        <v>7</v>
      </c>
    </row>
    <row r="772" spans="1:6" x14ac:dyDescent="0.35">
      <c r="A772">
        <v>8179</v>
      </c>
      <c r="B772" s="1">
        <v>45073</v>
      </c>
      <c r="C772">
        <v>425.46</v>
      </c>
      <c r="D772" t="s">
        <v>12</v>
      </c>
      <c r="E772">
        <v>534130</v>
      </c>
      <c r="F772" t="s">
        <v>7</v>
      </c>
    </row>
    <row r="773" spans="1:6" x14ac:dyDescent="0.35">
      <c r="A773">
        <v>5040</v>
      </c>
      <c r="B773" s="1">
        <v>45073</v>
      </c>
      <c r="C773">
        <v>628.78</v>
      </c>
      <c r="D773" t="s">
        <v>12</v>
      </c>
      <c r="E773">
        <v>580102</v>
      </c>
      <c r="F773" t="s">
        <v>10</v>
      </c>
    </row>
    <row r="774" spans="1:6" x14ac:dyDescent="0.35">
      <c r="A774">
        <v>5634</v>
      </c>
      <c r="B774" s="1">
        <v>45073</v>
      </c>
      <c r="C774">
        <v>305.57</v>
      </c>
      <c r="D774" t="s">
        <v>13</v>
      </c>
      <c r="E774">
        <v>255813</v>
      </c>
      <c r="F774" t="s">
        <v>7</v>
      </c>
    </row>
    <row r="775" spans="1:6" x14ac:dyDescent="0.35">
      <c r="A775">
        <v>6303</v>
      </c>
      <c r="B775" s="1">
        <v>45073</v>
      </c>
      <c r="C775">
        <v>473.71</v>
      </c>
      <c r="D775" t="s">
        <v>12</v>
      </c>
      <c r="E775">
        <v>172222</v>
      </c>
      <c r="F775" t="s">
        <v>9</v>
      </c>
    </row>
    <row r="776" spans="1:6" x14ac:dyDescent="0.35">
      <c r="A776">
        <v>3048</v>
      </c>
      <c r="B776" s="1">
        <v>45073</v>
      </c>
      <c r="C776">
        <v>242.28</v>
      </c>
      <c r="D776" t="s">
        <v>6</v>
      </c>
      <c r="E776">
        <v>880009</v>
      </c>
      <c r="F776" t="s">
        <v>10</v>
      </c>
    </row>
    <row r="777" spans="1:6" x14ac:dyDescent="0.35">
      <c r="A777">
        <v>3384</v>
      </c>
      <c r="B777" s="1">
        <v>45073</v>
      </c>
      <c r="C777">
        <v>39.19</v>
      </c>
      <c r="D777" t="s">
        <v>6</v>
      </c>
      <c r="E777">
        <v>534152</v>
      </c>
      <c r="F777" t="s">
        <v>7</v>
      </c>
    </row>
    <row r="778" spans="1:6" x14ac:dyDescent="0.35">
      <c r="A778">
        <v>2658</v>
      </c>
      <c r="B778" s="1">
        <v>45073</v>
      </c>
      <c r="C778">
        <v>238.71</v>
      </c>
      <c r="D778" t="s">
        <v>13</v>
      </c>
      <c r="E778">
        <v>298663</v>
      </c>
      <c r="F778" t="s">
        <v>9</v>
      </c>
    </row>
    <row r="779" spans="1:6" x14ac:dyDescent="0.35">
      <c r="A779">
        <v>4675</v>
      </c>
      <c r="B779" s="1">
        <v>45073</v>
      </c>
      <c r="C779">
        <v>985.03</v>
      </c>
      <c r="D779" t="s">
        <v>12</v>
      </c>
      <c r="E779">
        <v>869735</v>
      </c>
      <c r="F779" t="s">
        <v>10</v>
      </c>
    </row>
    <row r="780" spans="1:6" x14ac:dyDescent="0.35">
      <c r="A780">
        <v>4727</v>
      </c>
      <c r="B780" s="1">
        <v>45074</v>
      </c>
      <c r="C780">
        <v>99.48</v>
      </c>
      <c r="D780" t="s">
        <v>8</v>
      </c>
      <c r="E780">
        <v>897305</v>
      </c>
      <c r="F780" t="s">
        <v>10</v>
      </c>
    </row>
    <row r="781" spans="1:6" x14ac:dyDescent="0.35">
      <c r="A781">
        <v>9175</v>
      </c>
      <c r="B781" s="1">
        <v>45074</v>
      </c>
      <c r="C781">
        <v>207.67</v>
      </c>
      <c r="D781" t="s">
        <v>12</v>
      </c>
      <c r="E781">
        <v>378297</v>
      </c>
      <c r="F781" t="s">
        <v>9</v>
      </c>
    </row>
    <row r="782" spans="1:6" x14ac:dyDescent="0.35">
      <c r="A782">
        <v>5923</v>
      </c>
      <c r="B782" s="1">
        <v>45074</v>
      </c>
      <c r="C782">
        <v>448.68</v>
      </c>
      <c r="D782" t="s">
        <v>6</v>
      </c>
      <c r="E782">
        <v>382507</v>
      </c>
      <c r="F782" t="s">
        <v>7</v>
      </c>
    </row>
    <row r="783" spans="1:6" x14ac:dyDescent="0.35">
      <c r="A783">
        <v>8370</v>
      </c>
      <c r="B783" s="1">
        <v>45074</v>
      </c>
      <c r="C783">
        <v>341.31</v>
      </c>
      <c r="D783" t="s">
        <v>6</v>
      </c>
      <c r="E783">
        <v>477808</v>
      </c>
      <c r="F783" t="s">
        <v>11</v>
      </c>
    </row>
    <row r="784" spans="1:6" x14ac:dyDescent="0.35">
      <c r="A784">
        <v>8078</v>
      </c>
      <c r="B784" s="1">
        <v>45074</v>
      </c>
      <c r="C784">
        <v>329.1</v>
      </c>
      <c r="D784" t="s">
        <v>6</v>
      </c>
      <c r="E784">
        <v>127121</v>
      </c>
      <c r="F784" t="s">
        <v>10</v>
      </c>
    </row>
    <row r="785" spans="1:6" x14ac:dyDescent="0.35">
      <c r="A785">
        <v>7971</v>
      </c>
      <c r="B785" s="1">
        <v>45074</v>
      </c>
      <c r="C785">
        <v>554.88</v>
      </c>
      <c r="D785" t="s">
        <v>6</v>
      </c>
      <c r="E785">
        <v>836996</v>
      </c>
      <c r="F785" t="s">
        <v>7</v>
      </c>
    </row>
    <row r="786" spans="1:6" x14ac:dyDescent="0.35">
      <c r="A786">
        <v>5049</v>
      </c>
      <c r="B786" s="1">
        <v>45074</v>
      </c>
      <c r="C786">
        <v>994.59</v>
      </c>
      <c r="D786" t="s">
        <v>12</v>
      </c>
      <c r="E786">
        <v>583220</v>
      </c>
      <c r="F786" t="s">
        <v>10</v>
      </c>
    </row>
    <row r="787" spans="1:6" x14ac:dyDescent="0.35">
      <c r="A787">
        <v>1212</v>
      </c>
      <c r="B787" s="1">
        <v>45074</v>
      </c>
      <c r="C787">
        <v>258.83</v>
      </c>
      <c r="D787" t="s">
        <v>13</v>
      </c>
      <c r="E787">
        <v>970300</v>
      </c>
      <c r="F787" t="s">
        <v>9</v>
      </c>
    </row>
    <row r="788" spans="1:6" x14ac:dyDescent="0.35">
      <c r="A788">
        <v>3607</v>
      </c>
      <c r="B788" s="1">
        <v>45074</v>
      </c>
      <c r="C788">
        <v>862.88</v>
      </c>
      <c r="D788" t="s">
        <v>13</v>
      </c>
      <c r="E788">
        <v>371782</v>
      </c>
      <c r="F788" t="s">
        <v>9</v>
      </c>
    </row>
    <row r="789" spans="1:6" x14ac:dyDescent="0.35">
      <c r="A789">
        <v>4714</v>
      </c>
      <c r="B789" s="1">
        <v>45074</v>
      </c>
      <c r="C789">
        <v>656.25</v>
      </c>
      <c r="D789" t="s">
        <v>8</v>
      </c>
      <c r="E789">
        <v>764678</v>
      </c>
      <c r="F789" t="s">
        <v>7</v>
      </c>
    </row>
    <row r="790" spans="1:6" x14ac:dyDescent="0.35">
      <c r="A790">
        <v>9689</v>
      </c>
      <c r="B790" s="1">
        <v>45074</v>
      </c>
      <c r="C790">
        <v>58.09</v>
      </c>
      <c r="D790" t="s">
        <v>13</v>
      </c>
      <c r="E790">
        <v>979562</v>
      </c>
      <c r="F790" t="s">
        <v>7</v>
      </c>
    </row>
    <row r="791" spans="1:6" x14ac:dyDescent="0.35">
      <c r="A791">
        <v>3938</v>
      </c>
      <c r="B791" s="1">
        <v>45074</v>
      </c>
      <c r="C791">
        <v>925.24</v>
      </c>
      <c r="D791" t="s">
        <v>13</v>
      </c>
      <c r="E791">
        <v>941204</v>
      </c>
      <c r="F791" t="s">
        <v>9</v>
      </c>
    </row>
    <row r="792" spans="1:6" x14ac:dyDescent="0.35">
      <c r="A792">
        <v>8511</v>
      </c>
      <c r="B792" s="1">
        <v>45074</v>
      </c>
      <c r="C792">
        <v>94.05</v>
      </c>
      <c r="D792" t="s">
        <v>8</v>
      </c>
      <c r="E792">
        <v>629979</v>
      </c>
      <c r="F792" t="s">
        <v>9</v>
      </c>
    </row>
    <row r="793" spans="1:6" x14ac:dyDescent="0.35">
      <c r="A793">
        <v>3647</v>
      </c>
      <c r="B793" s="1">
        <v>45074</v>
      </c>
      <c r="C793">
        <v>447.42</v>
      </c>
      <c r="D793" t="s">
        <v>13</v>
      </c>
      <c r="E793">
        <v>688153</v>
      </c>
      <c r="F793" t="s">
        <v>10</v>
      </c>
    </row>
    <row r="794" spans="1:6" x14ac:dyDescent="0.35">
      <c r="A794">
        <v>5009</v>
      </c>
      <c r="B794" s="1">
        <v>45074</v>
      </c>
      <c r="C794">
        <v>53.79</v>
      </c>
      <c r="D794" t="s">
        <v>13</v>
      </c>
      <c r="E794">
        <v>345722</v>
      </c>
      <c r="F794" t="s">
        <v>9</v>
      </c>
    </row>
    <row r="795" spans="1:6" x14ac:dyDescent="0.35">
      <c r="A795">
        <v>7445</v>
      </c>
      <c r="B795" s="1">
        <v>45074</v>
      </c>
      <c r="C795">
        <v>165.44</v>
      </c>
      <c r="D795" t="s">
        <v>6</v>
      </c>
      <c r="E795">
        <v>817552</v>
      </c>
      <c r="F795" t="s">
        <v>11</v>
      </c>
    </row>
    <row r="796" spans="1:6" x14ac:dyDescent="0.35">
      <c r="A796">
        <v>4646</v>
      </c>
      <c r="B796" s="1">
        <v>45074</v>
      </c>
      <c r="C796">
        <v>674.63</v>
      </c>
      <c r="D796" t="s">
        <v>12</v>
      </c>
      <c r="E796">
        <v>894586</v>
      </c>
      <c r="F796" t="s">
        <v>9</v>
      </c>
    </row>
    <row r="797" spans="1:6" x14ac:dyDescent="0.35">
      <c r="A797">
        <v>5201</v>
      </c>
      <c r="B797" s="1">
        <v>45074</v>
      </c>
      <c r="C797">
        <v>484.29</v>
      </c>
      <c r="D797" t="s">
        <v>12</v>
      </c>
      <c r="E797">
        <v>968170</v>
      </c>
      <c r="F797" t="s">
        <v>11</v>
      </c>
    </row>
    <row r="798" spans="1:6" x14ac:dyDescent="0.35">
      <c r="A798">
        <v>2753</v>
      </c>
      <c r="B798" s="1">
        <v>45074</v>
      </c>
      <c r="C798">
        <v>557.69000000000005</v>
      </c>
      <c r="D798" t="s">
        <v>6</v>
      </c>
      <c r="E798">
        <v>395442</v>
      </c>
      <c r="F798" t="s">
        <v>9</v>
      </c>
    </row>
    <row r="799" spans="1:6" x14ac:dyDescent="0.35">
      <c r="A799">
        <v>2582</v>
      </c>
      <c r="B799" s="1">
        <v>45074</v>
      </c>
      <c r="C799">
        <v>741.41</v>
      </c>
      <c r="D799" t="s">
        <v>12</v>
      </c>
      <c r="E799">
        <v>683397</v>
      </c>
      <c r="F799" t="s">
        <v>10</v>
      </c>
    </row>
    <row r="800" spans="1:6" x14ac:dyDescent="0.35">
      <c r="A800">
        <v>1049</v>
      </c>
      <c r="B800" s="1">
        <v>45074</v>
      </c>
      <c r="C800">
        <v>225.72</v>
      </c>
      <c r="D800" t="s">
        <v>8</v>
      </c>
      <c r="E800">
        <v>147489</v>
      </c>
      <c r="F800" t="s">
        <v>7</v>
      </c>
    </row>
    <row r="801" spans="1:6" x14ac:dyDescent="0.35">
      <c r="A801">
        <v>6885</v>
      </c>
      <c r="B801" s="1">
        <v>45075</v>
      </c>
      <c r="C801">
        <v>196.54</v>
      </c>
      <c r="D801" t="s">
        <v>13</v>
      </c>
      <c r="E801">
        <v>120053</v>
      </c>
      <c r="F801" t="s">
        <v>9</v>
      </c>
    </row>
    <row r="802" spans="1:6" x14ac:dyDescent="0.35">
      <c r="A802">
        <v>2489</v>
      </c>
      <c r="B802" s="1">
        <v>45075</v>
      </c>
      <c r="C802">
        <v>56.65</v>
      </c>
      <c r="D802" t="s">
        <v>8</v>
      </c>
      <c r="E802">
        <v>260265</v>
      </c>
      <c r="F802" t="s">
        <v>9</v>
      </c>
    </row>
    <row r="803" spans="1:6" x14ac:dyDescent="0.35">
      <c r="A803">
        <v>7288</v>
      </c>
      <c r="B803" s="1">
        <v>45075</v>
      </c>
      <c r="C803">
        <v>742.35</v>
      </c>
      <c r="D803" t="s">
        <v>8</v>
      </c>
      <c r="E803">
        <v>625119</v>
      </c>
      <c r="F803" t="s">
        <v>11</v>
      </c>
    </row>
    <row r="804" spans="1:6" x14ac:dyDescent="0.35">
      <c r="A804">
        <v>6896</v>
      </c>
      <c r="B804" s="1">
        <v>45075</v>
      </c>
      <c r="C804">
        <v>277.07</v>
      </c>
      <c r="D804" t="s">
        <v>12</v>
      </c>
      <c r="E804">
        <v>191537</v>
      </c>
      <c r="F804" t="s">
        <v>9</v>
      </c>
    </row>
    <row r="805" spans="1:6" x14ac:dyDescent="0.35">
      <c r="A805">
        <v>9954</v>
      </c>
      <c r="B805" s="1">
        <v>45075</v>
      </c>
      <c r="C805">
        <v>798.01</v>
      </c>
      <c r="D805" t="s">
        <v>12</v>
      </c>
      <c r="E805">
        <v>106687</v>
      </c>
      <c r="F805" t="s">
        <v>7</v>
      </c>
    </row>
    <row r="806" spans="1:6" x14ac:dyDescent="0.35">
      <c r="A806">
        <v>2036</v>
      </c>
      <c r="B806" s="1">
        <v>45075</v>
      </c>
      <c r="C806">
        <v>748.49</v>
      </c>
      <c r="D806" t="s">
        <v>8</v>
      </c>
      <c r="E806">
        <v>834928</v>
      </c>
      <c r="F806" t="s">
        <v>10</v>
      </c>
    </row>
    <row r="807" spans="1:6" x14ac:dyDescent="0.35">
      <c r="A807">
        <v>8242</v>
      </c>
      <c r="B807" s="1">
        <v>45075</v>
      </c>
      <c r="C807">
        <v>61.1</v>
      </c>
      <c r="D807" t="s">
        <v>6</v>
      </c>
      <c r="E807">
        <v>675898</v>
      </c>
      <c r="F807" t="s">
        <v>9</v>
      </c>
    </row>
    <row r="808" spans="1:6" x14ac:dyDescent="0.35">
      <c r="A808">
        <v>1659</v>
      </c>
      <c r="B808" s="1">
        <v>45075</v>
      </c>
      <c r="C808">
        <v>758.71</v>
      </c>
      <c r="D808" t="s">
        <v>13</v>
      </c>
      <c r="E808">
        <v>644173</v>
      </c>
      <c r="F808" t="s">
        <v>7</v>
      </c>
    </row>
    <row r="809" spans="1:6" x14ac:dyDescent="0.35">
      <c r="A809">
        <v>4110</v>
      </c>
      <c r="B809" s="1">
        <v>45075</v>
      </c>
      <c r="C809">
        <v>167.75</v>
      </c>
      <c r="D809" t="s">
        <v>13</v>
      </c>
      <c r="E809">
        <v>622987</v>
      </c>
      <c r="F809" t="s">
        <v>11</v>
      </c>
    </row>
    <row r="810" spans="1:6" x14ac:dyDescent="0.35">
      <c r="A810">
        <v>5216</v>
      </c>
      <c r="B810" s="1">
        <v>45075</v>
      </c>
      <c r="C810">
        <v>823.38</v>
      </c>
      <c r="D810" t="s">
        <v>13</v>
      </c>
      <c r="E810">
        <v>583214</v>
      </c>
      <c r="F810" t="s">
        <v>9</v>
      </c>
    </row>
    <row r="811" spans="1:6" x14ac:dyDescent="0.35">
      <c r="A811">
        <v>2133</v>
      </c>
      <c r="B811" s="1">
        <v>45075</v>
      </c>
      <c r="C811">
        <v>537.38</v>
      </c>
      <c r="D811" t="s">
        <v>12</v>
      </c>
      <c r="E811">
        <v>234628</v>
      </c>
      <c r="F811" t="s">
        <v>7</v>
      </c>
    </row>
    <row r="812" spans="1:6" x14ac:dyDescent="0.35">
      <c r="A812">
        <v>7025</v>
      </c>
      <c r="B812" s="1">
        <v>45075</v>
      </c>
      <c r="C812">
        <v>592.5</v>
      </c>
      <c r="D812" t="s">
        <v>12</v>
      </c>
      <c r="E812">
        <v>913848</v>
      </c>
      <c r="F812" t="s">
        <v>9</v>
      </c>
    </row>
    <row r="813" spans="1:6" x14ac:dyDescent="0.35">
      <c r="A813">
        <v>3555</v>
      </c>
      <c r="B813" s="1">
        <v>45075</v>
      </c>
      <c r="C813">
        <v>731.2</v>
      </c>
      <c r="D813" t="s">
        <v>8</v>
      </c>
      <c r="E813">
        <v>217830</v>
      </c>
      <c r="F813" t="s">
        <v>10</v>
      </c>
    </row>
    <row r="814" spans="1:6" x14ac:dyDescent="0.35">
      <c r="A814">
        <v>5558</v>
      </c>
      <c r="B814" s="1">
        <v>45075</v>
      </c>
      <c r="C814">
        <v>951.69</v>
      </c>
      <c r="D814" t="s">
        <v>13</v>
      </c>
      <c r="E814">
        <v>364525</v>
      </c>
      <c r="F814" t="s">
        <v>10</v>
      </c>
    </row>
    <row r="815" spans="1:6" x14ac:dyDescent="0.35">
      <c r="A815">
        <v>3221</v>
      </c>
      <c r="B815" s="1">
        <v>45075</v>
      </c>
      <c r="C815">
        <v>787.83</v>
      </c>
      <c r="D815" t="s">
        <v>8</v>
      </c>
      <c r="E815">
        <v>390794</v>
      </c>
      <c r="F815" t="s">
        <v>9</v>
      </c>
    </row>
    <row r="816" spans="1:6" x14ac:dyDescent="0.35">
      <c r="A816">
        <v>2890</v>
      </c>
      <c r="B816" s="1">
        <v>45075</v>
      </c>
      <c r="C816">
        <v>358.72</v>
      </c>
      <c r="D816" t="s">
        <v>13</v>
      </c>
      <c r="E816">
        <v>711116</v>
      </c>
      <c r="F816" t="s">
        <v>7</v>
      </c>
    </row>
    <row r="817" spans="1:6" x14ac:dyDescent="0.35">
      <c r="A817">
        <v>9475</v>
      </c>
      <c r="B817" s="1">
        <v>45075</v>
      </c>
      <c r="C817">
        <v>247.9</v>
      </c>
      <c r="D817" t="s">
        <v>8</v>
      </c>
      <c r="E817">
        <v>944554</v>
      </c>
      <c r="F817" t="s">
        <v>7</v>
      </c>
    </row>
    <row r="818" spans="1:6" x14ac:dyDescent="0.35">
      <c r="A818">
        <v>8273</v>
      </c>
      <c r="B818" s="1">
        <v>45075</v>
      </c>
      <c r="C818">
        <v>86.12</v>
      </c>
      <c r="D818" t="s">
        <v>12</v>
      </c>
      <c r="E818">
        <v>655178</v>
      </c>
      <c r="F818" t="s">
        <v>11</v>
      </c>
    </row>
    <row r="819" spans="1:6" x14ac:dyDescent="0.35">
      <c r="A819">
        <v>8300</v>
      </c>
      <c r="B819" s="1">
        <v>45075</v>
      </c>
      <c r="C819">
        <v>599.17999999999995</v>
      </c>
      <c r="D819" t="s">
        <v>8</v>
      </c>
      <c r="E819">
        <v>332873</v>
      </c>
      <c r="F819" t="s">
        <v>7</v>
      </c>
    </row>
    <row r="820" spans="1:6" x14ac:dyDescent="0.35">
      <c r="A820">
        <v>2765</v>
      </c>
      <c r="B820" s="1">
        <v>45075</v>
      </c>
      <c r="C820">
        <v>420.33</v>
      </c>
      <c r="D820" t="s">
        <v>8</v>
      </c>
      <c r="E820">
        <v>909652</v>
      </c>
      <c r="F820" t="s">
        <v>7</v>
      </c>
    </row>
    <row r="821" spans="1:6" x14ac:dyDescent="0.35">
      <c r="A821">
        <v>9797</v>
      </c>
      <c r="B821" s="1">
        <v>45075</v>
      </c>
      <c r="C821">
        <v>274.16000000000003</v>
      </c>
      <c r="D821" t="s">
        <v>6</v>
      </c>
      <c r="E821">
        <v>216970</v>
      </c>
      <c r="F821" t="s">
        <v>11</v>
      </c>
    </row>
    <row r="822" spans="1:6" x14ac:dyDescent="0.35">
      <c r="A822">
        <v>2882</v>
      </c>
      <c r="B822" s="1">
        <v>45075</v>
      </c>
      <c r="C822">
        <v>285.77999999999997</v>
      </c>
      <c r="D822" t="s">
        <v>12</v>
      </c>
      <c r="E822">
        <v>946432</v>
      </c>
      <c r="F822" t="s">
        <v>7</v>
      </c>
    </row>
    <row r="823" spans="1:6" x14ac:dyDescent="0.35">
      <c r="A823">
        <v>8692</v>
      </c>
      <c r="B823" s="1">
        <v>45075</v>
      </c>
      <c r="C823">
        <v>841.33</v>
      </c>
      <c r="D823" t="s">
        <v>12</v>
      </c>
      <c r="E823">
        <v>488712</v>
      </c>
      <c r="F823" t="s">
        <v>11</v>
      </c>
    </row>
    <row r="824" spans="1:6" x14ac:dyDescent="0.35">
      <c r="A824">
        <v>7511</v>
      </c>
      <c r="B824" s="1">
        <v>45075</v>
      </c>
      <c r="C824">
        <v>211.66</v>
      </c>
      <c r="D824" t="s">
        <v>13</v>
      </c>
      <c r="E824">
        <v>287401</v>
      </c>
      <c r="F824" t="s">
        <v>11</v>
      </c>
    </row>
    <row r="825" spans="1:6" x14ac:dyDescent="0.35">
      <c r="A825">
        <v>1833</v>
      </c>
      <c r="B825" s="1">
        <v>45076</v>
      </c>
      <c r="C825">
        <v>933.06</v>
      </c>
      <c r="D825" t="s">
        <v>6</v>
      </c>
      <c r="E825">
        <v>614379</v>
      </c>
      <c r="F825" t="s">
        <v>11</v>
      </c>
    </row>
    <row r="826" spans="1:6" x14ac:dyDescent="0.35">
      <c r="A826">
        <v>5520</v>
      </c>
      <c r="B826" s="1">
        <v>45076</v>
      </c>
      <c r="C826">
        <v>405.44</v>
      </c>
      <c r="D826" t="s">
        <v>13</v>
      </c>
      <c r="E826">
        <v>525146</v>
      </c>
      <c r="F826" t="s">
        <v>9</v>
      </c>
    </row>
    <row r="827" spans="1:6" x14ac:dyDescent="0.35">
      <c r="A827">
        <v>2728</v>
      </c>
      <c r="B827" s="1">
        <v>45076</v>
      </c>
      <c r="C827">
        <v>642.24</v>
      </c>
      <c r="D827" t="s">
        <v>6</v>
      </c>
      <c r="E827">
        <v>807256</v>
      </c>
      <c r="F827" t="s">
        <v>7</v>
      </c>
    </row>
    <row r="828" spans="1:6" x14ac:dyDescent="0.35">
      <c r="A828">
        <v>9328</v>
      </c>
      <c r="B828" s="1">
        <v>45076</v>
      </c>
      <c r="C828">
        <v>921.95</v>
      </c>
      <c r="D828" t="s">
        <v>12</v>
      </c>
      <c r="E828">
        <v>825423</v>
      </c>
      <c r="F828" t="s">
        <v>9</v>
      </c>
    </row>
    <row r="829" spans="1:6" x14ac:dyDescent="0.35">
      <c r="A829">
        <v>6269</v>
      </c>
      <c r="B829" s="1">
        <v>45076</v>
      </c>
      <c r="C829">
        <v>290.23</v>
      </c>
      <c r="D829" t="s">
        <v>13</v>
      </c>
      <c r="E829">
        <v>659572</v>
      </c>
      <c r="F829" t="s">
        <v>11</v>
      </c>
    </row>
    <row r="830" spans="1:6" x14ac:dyDescent="0.35">
      <c r="A830">
        <v>3230</v>
      </c>
      <c r="B830" s="1">
        <v>45076</v>
      </c>
      <c r="C830">
        <v>772.45</v>
      </c>
      <c r="D830" t="s">
        <v>8</v>
      </c>
      <c r="E830">
        <v>262959</v>
      </c>
      <c r="F830" t="s">
        <v>10</v>
      </c>
    </row>
    <row r="831" spans="1:6" x14ac:dyDescent="0.35">
      <c r="A831">
        <v>2404</v>
      </c>
      <c r="B831" s="1">
        <v>45076</v>
      </c>
      <c r="C831">
        <v>622.42999999999995</v>
      </c>
      <c r="D831" t="s">
        <v>12</v>
      </c>
      <c r="E831">
        <v>847748</v>
      </c>
      <c r="F831" t="s">
        <v>10</v>
      </c>
    </row>
    <row r="832" spans="1:6" x14ac:dyDescent="0.35">
      <c r="A832">
        <v>2124</v>
      </c>
      <c r="B832" s="1">
        <v>45076</v>
      </c>
      <c r="C832">
        <v>957.71</v>
      </c>
      <c r="D832" t="s">
        <v>8</v>
      </c>
      <c r="E832">
        <v>890870</v>
      </c>
      <c r="F832" t="s">
        <v>10</v>
      </c>
    </row>
    <row r="833" spans="1:6" x14ac:dyDescent="0.35">
      <c r="A833">
        <v>7084</v>
      </c>
      <c r="B833" s="1">
        <v>45076</v>
      </c>
      <c r="C833">
        <v>98.59</v>
      </c>
      <c r="D833" t="s">
        <v>12</v>
      </c>
      <c r="E833">
        <v>624203</v>
      </c>
      <c r="F833" t="s">
        <v>10</v>
      </c>
    </row>
    <row r="834" spans="1:6" x14ac:dyDescent="0.35">
      <c r="A834">
        <v>5179</v>
      </c>
      <c r="B834" s="1">
        <v>45076</v>
      </c>
      <c r="C834">
        <v>111.88</v>
      </c>
      <c r="D834" t="s">
        <v>8</v>
      </c>
      <c r="E834">
        <v>339499</v>
      </c>
      <c r="F834" t="s">
        <v>10</v>
      </c>
    </row>
    <row r="835" spans="1:6" x14ac:dyDescent="0.35">
      <c r="A835">
        <v>3945</v>
      </c>
      <c r="B835" s="1">
        <v>45076</v>
      </c>
      <c r="C835">
        <v>589.59</v>
      </c>
      <c r="D835" t="s">
        <v>12</v>
      </c>
      <c r="E835">
        <v>512160</v>
      </c>
      <c r="F835" t="s">
        <v>7</v>
      </c>
    </row>
    <row r="836" spans="1:6" x14ac:dyDescent="0.35">
      <c r="A836">
        <v>1719</v>
      </c>
      <c r="B836" s="1">
        <v>45076</v>
      </c>
      <c r="C836">
        <v>179.18</v>
      </c>
      <c r="D836" t="s">
        <v>6</v>
      </c>
      <c r="E836">
        <v>692960</v>
      </c>
      <c r="F836" t="s">
        <v>9</v>
      </c>
    </row>
    <row r="837" spans="1:6" x14ac:dyDescent="0.35">
      <c r="A837">
        <v>3954</v>
      </c>
      <c r="B837" s="1">
        <v>45076</v>
      </c>
      <c r="C837">
        <v>90</v>
      </c>
      <c r="D837" t="s">
        <v>6</v>
      </c>
      <c r="E837">
        <v>761685</v>
      </c>
      <c r="F837" t="s">
        <v>9</v>
      </c>
    </row>
    <row r="838" spans="1:6" x14ac:dyDescent="0.35">
      <c r="A838">
        <v>5543</v>
      </c>
      <c r="B838" s="1">
        <v>45076</v>
      </c>
      <c r="C838">
        <v>779.9</v>
      </c>
      <c r="D838" t="s">
        <v>13</v>
      </c>
      <c r="E838">
        <v>757193</v>
      </c>
      <c r="F838" t="s">
        <v>9</v>
      </c>
    </row>
    <row r="839" spans="1:6" x14ac:dyDescent="0.35">
      <c r="A839">
        <v>3742</v>
      </c>
      <c r="B839" s="1">
        <v>45077</v>
      </c>
      <c r="C839">
        <v>283.33999999999997</v>
      </c>
      <c r="D839" t="s">
        <v>8</v>
      </c>
      <c r="E839">
        <v>515035</v>
      </c>
      <c r="F839" t="s">
        <v>9</v>
      </c>
    </row>
    <row r="840" spans="1:6" x14ac:dyDescent="0.35">
      <c r="A840">
        <v>6432</v>
      </c>
      <c r="B840" s="1">
        <v>45077</v>
      </c>
      <c r="C840">
        <v>436.15</v>
      </c>
      <c r="D840" t="s">
        <v>8</v>
      </c>
      <c r="E840">
        <v>203396</v>
      </c>
      <c r="F840" t="s">
        <v>11</v>
      </c>
    </row>
    <row r="841" spans="1:6" x14ac:dyDescent="0.35">
      <c r="A841">
        <v>2194</v>
      </c>
      <c r="B841" s="1">
        <v>45077</v>
      </c>
      <c r="C841">
        <v>710.6</v>
      </c>
      <c r="D841" t="s">
        <v>12</v>
      </c>
      <c r="E841">
        <v>292800</v>
      </c>
      <c r="F841" t="s">
        <v>10</v>
      </c>
    </row>
    <row r="842" spans="1:6" x14ac:dyDescent="0.35">
      <c r="A842">
        <v>8317</v>
      </c>
      <c r="B842" s="1">
        <v>45077</v>
      </c>
      <c r="C842">
        <v>702.32</v>
      </c>
      <c r="D842" t="s">
        <v>12</v>
      </c>
      <c r="E842">
        <v>205149</v>
      </c>
      <c r="F842" t="s">
        <v>9</v>
      </c>
    </row>
    <row r="843" spans="1:6" x14ac:dyDescent="0.35">
      <c r="A843">
        <v>8342</v>
      </c>
      <c r="B843" s="1">
        <v>45077</v>
      </c>
      <c r="C843">
        <v>27.07</v>
      </c>
      <c r="D843" t="s">
        <v>6</v>
      </c>
      <c r="E843">
        <v>332360</v>
      </c>
      <c r="F843" t="s">
        <v>7</v>
      </c>
    </row>
    <row r="844" spans="1:6" x14ac:dyDescent="0.35">
      <c r="A844">
        <v>7046</v>
      </c>
      <c r="B844" s="1">
        <v>45077</v>
      </c>
      <c r="C844">
        <v>711.35</v>
      </c>
      <c r="D844" t="s">
        <v>6</v>
      </c>
      <c r="E844">
        <v>654718</v>
      </c>
      <c r="F844" t="s">
        <v>10</v>
      </c>
    </row>
    <row r="845" spans="1:6" x14ac:dyDescent="0.35">
      <c r="A845">
        <v>5334</v>
      </c>
      <c r="B845" s="1">
        <v>45077</v>
      </c>
      <c r="C845">
        <v>793.34</v>
      </c>
      <c r="D845" t="s">
        <v>12</v>
      </c>
      <c r="E845">
        <v>545790</v>
      </c>
      <c r="F845" t="s">
        <v>10</v>
      </c>
    </row>
    <row r="846" spans="1:6" x14ac:dyDescent="0.35">
      <c r="A846">
        <v>7932</v>
      </c>
      <c r="B846" s="1">
        <v>45077</v>
      </c>
      <c r="C846">
        <v>383.22</v>
      </c>
      <c r="D846" t="s">
        <v>13</v>
      </c>
      <c r="E846">
        <v>726979</v>
      </c>
      <c r="F846" t="s">
        <v>7</v>
      </c>
    </row>
    <row r="847" spans="1:6" x14ac:dyDescent="0.35">
      <c r="A847">
        <v>9907</v>
      </c>
      <c r="B847" s="1">
        <v>45077</v>
      </c>
      <c r="C847">
        <v>29.33</v>
      </c>
      <c r="D847" t="s">
        <v>13</v>
      </c>
      <c r="E847">
        <v>919898</v>
      </c>
      <c r="F847" t="s">
        <v>11</v>
      </c>
    </row>
    <row r="848" spans="1:6" x14ac:dyDescent="0.35">
      <c r="A848">
        <v>6869</v>
      </c>
      <c r="B848" s="1">
        <v>45077</v>
      </c>
      <c r="C848">
        <v>790.55</v>
      </c>
      <c r="D848" t="s">
        <v>6</v>
      </c>
      <c r="E848">
        <v>116547</v>
      </c>
      <c r="F848" t="s">
        <v>9</v>
      </c>
    </row>
    <row r="849" spans="1:6" x14ac:dyDescent="0.35">
      <c r="A849">
        <v>1505</v>
      </c>
      <c r="B849" s="1">
        <v>45077</v>
      </c>
      <c r="C849">
        <v>763.45</v>
      </c>
      <c r="D849" t="s">
        <v>6</v>
      </c>
      <c r="E849">
        <v>134283</v>
      </c>
      <c r="F849" t="s">
        <v>11</v>
      </c>
    </row>
    <row r="850" spans="1:6" x14ac:dyDescent="0.35">
      <c r="A850">
        <v>4788</v>
      </c>
      <c r="B850" s="1">
        <v>45077</v>
      </c>
      <c r="C850">
        <v>17.149999999999999</v>
      </c>
      <c r="D850" t="s">
        <v>6</v>
      </c>
      <c r="E850">
        <v>297731</v>
      </c>
      <c r="F850" t="s">
        <v>7</v>
      </c>
    </row>
    <row r="851" spans="1:6" x14ac:dyDescent="0.35">
      <c r="A851">
        <v>5747</v>
      </c>
      <c r="B851" s="1">
        <v>45077</v>
      </c>
      <c r="C851">
        <v>400.38</v>
      </c>
      <c r="D851" t="s">
        <v>12</v>
      </c>
      <c r="E851">
        <v>452497</v>
      </c>
      <c r="F851" t="s">
        <v>10</v>
      </c>
    </row>
    <row r="852" spans="1:6" x14ac:dyDescent="0.35">
      <c r="A852">
        <v>8043</v>
      </c>
      <c r="B852" s="1">
        <v>45077</v>
      </c>
      <c r="C852">
        <v>584.17999999999995</v>
      </c>
      <c r="D852" t="s">
        <v>6</v>
      </c>
      <c r="E852">
        <v>587575</v>
      </c>
      <c r="F852" t="s">
        <v>7</v>
      </c>
    </row>
    <row r="853" spans="1:6" x14ac:dyDescent="0.35">
      <c r="A853">
        <v>3852</v>
      </c>
      <c r="B853" s="1">
        <v>45077</v>
      </c>
      <c r="C853">
        <v>367.88</v>
      </c>
      <c r="D853" t="s">
        <v>12</v>
      </c>
      <c r="E853">
        <v>227257</v>
      </c>
      <c r="F853" t="s">
        <v>9</v>
      </c>
    </row>
    <row r="854" spans="1:6" x14ac:dyDescent="0.35">
      <c r="A854">
        <v>8951</v>
      </c>
      <c r="B854" s="1">
        <v>45077</v>
      </c>
      <c r="C854">
        <v>350.3</v>
      </c>
      <c r="D854" t="s">
        <v>8</v>
      </c>
      <c r="E854">
        <v>148174</v>
      </c>
      <c r="F854" t="s">
        <v>10</v>
      </c>
    </row>
    <row r="855" spans="1:6" x14ac:dyDescent="0.35">
      <c r="A855">
        <v>7889</v>
      </c>
      <c r="B855" s="1">
        <v>45077</v>
      </c>
      <c r="C855">
        <v>887.98</v>
      </c>
      <c r="D855" t="s">
        <v>6</v>
      </c>
      <c r="E855">
        <v>373216</v>
      </c>
      <c r="F855" t="s">
        <v>11</v>
      </c>
    </row>
    <row r="856" spans="1:6" x14ac:dyDescent="0.35">
      <c r="A856">
        <v>2624</v>
      </c>
      <c r="B856" s="1">
        <v>45077</v>
      </c>
      <c r="C856">
        <v>704.76</v>
      </c>
      <c r="D856" t="s">
        <v>12</v>
      </c>
      <c r="E856">
        <v>550961</v>
      </c>
      <c r="F856" t="s">
        <v>7</v>
      </c>
    </row>
    <row r="857" spans="1:6" x14ac:dyDescent="0.35">
      <c r="A857">
        <v>6850</v>
      </c>
      <c r="B857" s="1">
        <v>45077</v>
      </c>
      <c r="C857">
        <v>76.88</v>
      </c>
      <c r="D857" t="s">
        <v>12</v>
      </c>
      <c r="E857">
        <v>868544</v>
      </c>
      <c r="F857" t="s">
        <v>10</v>
      </c>
    </row>
    <row r="858" spans="1:6" x14ac:dyDescent="0.35">
      <c r="A858">
        <v>8657</v>
      </c>
      <c r="B858" s="1">
        <v>45078</v>
      </c>
      <c r="C858">
        <v>983.18</v>
      </c>
      <c r="D858" t="s">
        <v>12</v>
      </c>
      <c r="E858">
        <v>741674</v>
      </c>
      <c r="F858" t="s">
        <v>10</v>
      </c>
    </row>
    <row r="859" spans="1:6" x14ac:dyDescent="0.35">
      <c r="A859">
        <v>1086</v>
      </c>
      <c r="B859" s="1">
        <v>45078</v>
      </c>
      <c r="C859">
        <v>100.18</v>
      </c>
      <c r="D859" t="s">
        <v>12</v>
      </c>
      <c r="E859">
        <v>594580</v>
      </c>
      <c r="F859" t="s">
        <v>7</v>
      </c>
    </row>
    <row r="860" spans="1:6" x14ac:dyDescent="0.35">
      <c r="A860">
        <v>7793</v>
      </c>
      <c r="B860" s="1">
        <v>45078</v>
      </c>
      <c r="C860">
        <v>336.92</v>
      </c>
      <c r="D860" t="s">
        <v>8</v>
      </c>
      <c r="E860">
        <v>604906</v>
      </c>
      <c r="F860" t="s">
        <v>7</v>
      </c>
    </row>
    <row r="861" spans="1:6" x14ac:dyDescent="0.35">
      <c r="A861">
        <v>6901</v>
      </c>
      <c r="B861" s="1">
        <v>45078</v>
      </c>
      <c r="C861">
        <v>680</v>
      </c>
      <c r="D861" t="s">
        <v>13</v>
      </c>
      <c r="E861">
        <v>874415</v>
      </c>
      <c r="F861" t="s">
        <v>10</v>
      </c>
    </row>
    <row r="862" spans="1:6" x14ac:dyDescent="0.35">
      <c r="A862">
        <v>6210</v>
      </c>
      <c r="B862" s="1">
        <v>45078</v>
      </c>
      <c r="C862">
        <v>740.72</v>
      </c>
      <c r="D862" t="s">
        <v>6</v>
      </c>
      <c r="E862">
        <v>720298</v>
      </c>
      <c r="F862" t="s">
        <v>10</v>
      </c>
    </row>
    <row r="863" spans="1:6" x14ac:dyDescent="0.35">
      <c r="A863">
        <v>5557</v>
      </c>
      <c r="B863" s="1">
        <v>45078</v>
      </c>
      <c r="C863">
        <v>870.61</v>
      </c>
      <c r="D863" t="s">
        <v>12</v>
      </c>
      <c r="E863">
        <v>832052</v>
      </c>
      <c r="F863" t="s">
        <v>7</v>
      </c>
    </row>
    <row r="864" spans="1:6" x14ac:dyDescent="0.35">
      <c r="A864">
        <v>9426</v>
      </c>
      <c r="B864" s="1">
        <v>45078</v>
      </c>
      <c r="C864">
        <v>513.65</v>
      </c>
      <c r="D864" t="s">
        <v>13</v>
      </c>
      <c r="E864">
        <v>145981</v>
      </c>
      <c r="F864" t="s">
        <v>11</v>
      </c>
    </row>
    <row r="865" spans="1:6" x14ac:dyDescent="0.35">
      <c r="A865">
        <v>6549</v>
      </c>
      <c r="B865" s="1">
        <v>45078</v>
      </c>
      <c r="C865">
        <v>124.02</v>
      </c>
      <c r="D865" t="s">
        <v>8</v>
      </c>
      <c r="E865">
        <v>247594</v>
      </c>
      <c r="F865" t="s">
        <v>9</v>
      </c>
    </row>
    <row r="866" spans="1:6" x14ac:dyDescent="0.35">
      <c r="A866">
        <v>9806</v>
      </c>
      <c r="B866" s="1">
        <v>45078</v>
      </c>
      <c r="C866">
        <v>667.45</v>
      </c>
      <c r="D866" t="s">
        <v>12</v>
      </c>
      <c r="E866">
        <v>898867</v>
      </c>
      <c r="F866" t="s">
        <v>9</v>
      </c>
    </row>
    <row r="867" spans="1:6" x14ac:dyDescent="0.35">
      <c r="A867">
        <v>2695</v>
      </c>
      <c r="B867" s="1">
        <v>45078</v>
      </c>
      <c r="C867">
        <v>900.14</v>
      </c>
      <c r="D867" t="s">
        <v>6</v>
      </c>
      <c r="E867">
        <v>849014</v>
      </c>
      <c r="F867" t="s">
        <v>10</v>
      </c>
    </row>
    <row r="868" spans="1:6" x14ac:dyDescent="0.35">
      <c r="A868">
        <v>9880</v>
      </c>
      <c r="B868" s="1">
        <v>45079</v>
      </c>
      <c r="C868">
        <v>759.22</v>
      </c>
      <c r="D868" t="s">
        <v>13</v>
      </c>
      <c r="E868">
        <v>672892</v>
      </c>
      <c r="F868" t="s">
        <v>9</v>
      </c>
    </row>
    <row r="869" spans="1:6" x14ac:dyDescent="0.35">
      <c r="A869">
        <v>4308</v>
      </c>
      <c r="B869" s="1">
        <v>45079</v>
      </c>
      <c r="C869">
        <v>630.95000000000005</v>
      </c>
      <c r="D869" t="s">
        <v>6</v>
      </c>
      <c r="E869">
        <v>435281</v>
      </c>
      <c r="F869" t="s">
        <v>10</v>
      </c>
    </row>
    <row r="870" spans="1:6" x14ac:dyDescent="0.35">
      <c r="A870">
        <v>5582</v>
      </c>
      <c r="B870" s="1">
        <v>45079</v>
      </c>
      <c r="C870">
        <v>989.2</v>
      </c>
      <c r="D870" t="s">
        <v>8</v>
      </c>
      <c r="E870">
        <v>234913</v>
      </c>
      <c r="F870" t="s">
        <v>10</v>
      </c>
    </row>
    <row r="871" spans="1:6" x14ac:dyDescent="0.35">
      <c r="A871">
        <v>6876</v>
      </c>
      <c r="B871" s="1">
        <v>45079</v>
      </c>
      <c r="C871">
        <v>458.07</v>
      </c>
      <c r="D871" t="s">
        <v>12</v>
      </c>
      <c r="E871">
        <v>878476</v>
      </c>
      <c r="F871" t="s">
        <v>7</v>
      </c>
    </row>
    <row r="872" spans="1:6" x14ac:dyDescent="0.35">
      <c r="A872">
        <v>6381</v>
      </c>
      <c r="B872" s="1">
        <v>45079</v>
      </c>
      <c r="C872">
        <v>136.52000000000001</v>
      </c>
      <c r="D872" t="s">
        <v>8</v>
      </c>
      <c r="E872">
        <v>777406</v>
      </c>
      <c r="F872" t="s">
        <v>7</v>
      </c>
    </row>
    <row r="873" spans="1:6" x14ac:dyDescent="0.35">
      <c r="A873">
        <v>4538</v>
      </c>
      <c r="B873" s="1">
        <v>45079</v>
      </c>
      <c r="C873">
        <v>871</v>
      </c>
      <c r="D873" t="s">
        <v>6</v>
      </c>
      <c r="E873">
        <v>911984</v>
      </c>
      <c r="F873" t="s">
        <v>9</v>
      </c>
    </row>
    <row r="874" spans="1:6" x14ac:dyDescent="0.35">
      <c r="A874">
        <v>2133</v>
      </c>
      <c r="B874" s="1">
        <v>45079</v>
      </c>
      <c r="C874">
        <v>849.31</v>
      </c>
      <c r="D874" t="s">
        <v>13</v>
      </c>
      <c r="E874">
        <v>805668</v>
      </c>
      <c r="F874" t="s">
        <v>7</v>
      </c>
    </row>
    <row r="875" spans="1:6" x14ac:dyDescent="0.35">
      <c r="A875">
        <v>4196</v>
      </c>
      <c r="B875" s="1">
        <v>45079</v>
      </c>
      <c r="C875">
        <v>390.1</v>
      </c>
      <c r="D875" t="s">
        <v>13</v>
      </c>
      <c r="E875">
        <v>529008</v>
      </c>
      <c r="F875" t="s">
        <v>7</v>
      </c>
    </row>
    <row r="876" spans="1:6" x14ac:dyDescent="0.35">
      <c r="A876">
        <v>5444</v>
      </c>
      <c r="B876" s="1">
        <v>45079</v>
      </c>
      <c r="C876">
        <v>87.11</v>
      </c>
      <c r="D876" t="s">
        <v>6</v>
      </c>
      <c r="E876">
        <v>225200</v>
      </c>
      <c r="F876" t="s">
        <v>10</v>
      </c>
    </row>
    <row r="877" spans="1:6" x14ac:dyDescent="0.35">
      <c r="A877">
        <v>7708</v>
      </c>
      <c r="B877" s="1">
        <v>45079</v>
      </c>
      <c r="C877">
        <v>579.15</v>
      </c>
      <c r="D877" t="s">
        <v>12</v>
      </c>
      <c r="E877">
        <v>432427</v>
      </c>
      <c r="F877" t="s">
        <v>10</v>
      </c>
    </row>
    <row r="878" spans="1:6" x14ac:dyDescent="0.35">
      <c r="A878">
        <v>2869</v>
      </c>
      <c r="B878" s="1">
        <v>45079</v>
      </c>
      <c r="C878">
        <v>74.69</v>
      </c>
      <c r="D878" t="s">
        <v>13</v>
      </c>
      <c r="E878">
        <v>177680</v>
      </c>
      <c r="F878" t="s">
        <v>10</v>
      </c>
    </row>
    <row r="879" spans="1:6" x14ac:dyDescent="0.35">
      <c r="A879">
        <v>7242</v>
      </c>
      <c r="B879" s="1">
        <v>45079</v>
      </c>
      <c r="C879">
        <v>642.16</v>
      </c>
      <c r="D879" t="s">
        <v>6</v>
      </c>
      <c r="E879">
        <v>213609</v>
      </c>
      <c r="F879" t="s">
        <v>9</v>
      </c>
    </row>
    <row r="880" spans="1:6" x14ac:dyDescent="0.35">
      <c r="A880">
        <v>3826</v>
      </c>
      <c r="B880" s="1">
        <v>45079</v>
      </c>
      <c r="C880">
        <v>676.85</v>
      </c>
      <c r="D880" t="s">
        <v>6</v>
      </c>
      <c r="E880">
        <v>744333</v>
      </c>
      <c r="F880" t="s">
        <v>10</v>
      </c>
    </row>
    <row r="881" spans="1:6" x14ac:dyDescent="0.35">
      <c r="A881">
        <v>8780</v>
      </c>
      <c r="B881" s="1">
        <v>45079</v>
      </c>
      <c r="C881">
        <v>26.47</v>
      </c>
      <c r="D881" t="s">
        <v>6</v>
      </c>
      <c r="E881">
        <v>806537</v>
      </c>
      <c r="F881" t="s">
        <v>10</v>
      </c>
    </row>
    <row r="882" spans="1:6" x14ac:dyDescent="0.35">
      <c r="A882">
        <v>6781</v>
      </c>
      <c r="B882" s="1">
        <v>45079</v>
      </c>
      <c r="C882">
        <v>869.04</v>
      </c>
      <c r="D882" t="s">
        <v>13</v>
      </c>
      <c r="E882">
        <v>931161</v>
      </c>
      <c r="F882" t="s">
        <v>7</v>
      </c>
    </row>
    <row r="883" spans="1:6" x14ac:dyDescent="0.35">
      <c r="A883">
        <v>7342</v>
      </c>
      <c r="B883" s="1">
        <v>45079</v>
      </c>
      <c r="C883">
        <v>527.36</v>
      </c>
      <c r="D883" t="s">
        <v>13</v>
      </c>
      <c r="E883">
        <v>700534</v>
      </c>
      <c r="F883" t="s">
        <v>9</v>
      </c>
    </row>
    <row r="884" spans="1:6" x14ac:dyDescent="0.35">
      <c r="A884">
        <v>6818</v>
      </c>
      <c r="B884" s="1">
        <v>45080</v>
      </c>
      <c r="C884">
        <v>637.32000000000005</v>
      </c>
      <c r="D884" t="s">
        <v>6</v>
      </c>
      <c r="E884">
        <v>674295</v>
      </c>
      <c r="F884" t="s">
        <v>11</v>
      </c>
    </row>
    <row r="885" spans="1:6" x14ac:dyDescent="0.35">
      <c r="A885">
        <v>5803</v>
      </c>
      <c r="B885" s="1">
        <v>45080</v>
      </c>
      <c r="C885">
        <v>632.35</v>
      </c>
      <c r="D885" t="s">
        <v>6</v>
      </c>
      <c r="E885">
        <v>705397</v>
      </c>
      <c r="F885" t="s">
        <v>9</v>
      </c>
    </row>
    <row r="886" spans="1:6" x14ac:dyDescent="0.35">
      <c r="A886">
        <v>7807</v>
      </c>
      <c r="B886" s="1">
        <v>45080</v>
      </c>
      <c r="C886">
        <v>487.67</v>
      </c>
      <c r="D886" t="s">
        <v>13</v>
      </c>
      <c r="E886">
        <v>355570</v>
      </c>
      <c r="F886" t="s">
        <v>7</v>
      </c>
    </row>
    <row r="887" spans="1:6" x14ac:dyDescent="0.35">
      <c r="A887">
        <v>3399</v>
      </c>
      <c r="B887" s="1">
        <v>45080</v>
      </c>
      <c r="C887">
        <v>71.41</v>
      </c>
      <c r="D887" t="s">
        <v>6</v>
      </c>
      <c r="E887">
        <v>313910</v>
      </c>
      <c r="F887" t="s">
        <v>10</v>
      </c>
    </row>
    <row r="888" spans="1:6" x14ac:dyDescent="0.35">
      <c r="A888">
        <v>4533</v>
      </c>
      <c r="B888" s="1">
        <v>45080</v>
      </c>
      <c r="C888">
        <v>158.02000000000001</v>
      </c>
      <c r="D888" t="s">
        <v>13</v>
      </c>
      <c r="E888">
        <v>216587</v>
      </c>
      <c r="F888" t="s">
        <v>11</v>
      </c>
    </row>
    <row r="889" spans="1:6" x14ac:dyDescent="0.35">
      <c r="A889">
        <v>2010</v>
      </c>
      <c r="B889" s="1">
        <v>45080</v>
      </c>
      <c r="C889">
        <v>783.15</v>
      </c>
      <c r="D889" t="s">
        <v>12</v>
      </c>
      <c r="E889">
        <v>237064</v>
      </c>
      <c r="F889" t="s">
        <v>9</v>
      </c>
    </row>
    <row r="890" spans="1:6" x14ac:dyDescent="0.35">
      <c r="A890">
        <v>3704</v>
      </c>
      <c r="B890" s="1">
        <v>45080</v>
      </c>
      <c r="C890">
        <v>472.72</v>
      </c>
      <c r="D890" t="s">
        <v>12</v>
      </c>
      <c r="E890">
        <v>752483</v>
      </c>
      <c r="F890" t="s">
        <v>10</v>
      </c>
    </row>
    <row r="891" spans="1:6" x14ac:dyDescent="0.35">
      <c r="A891">
        <v>8001</v>
      </c>
      <c r="B891" s="1">
        <v>45080</v>
      </c>
      <c r="C891">
        <v>554.97</v>
      </c>
      <c r="D891" t="s">
        <v>6</v>
      </c>
      <c r="E891">
        <v>593687</v>
      </c>
      <c r="F891" t="s">
        <v>9</v>
      </c>
    </row>
    <row r="892" spans="1:6" x14ac:dyDescent="0.35">
      <c r="A892">
        <v>2153</v>
      </c>
      <c r="B892" s="1">
        <v>45080</v>
      </c>
      <c r="C892">
        <v>310.87</v>
      </c>
      <c r="D892" t="s">
        <v>12</v>
      </c>
      <c r="E892">
        <v>644719</v>
      </c>
      <c r="F892" t="s">
        <v>10</v>
      </c>
    </row>
    <row r="893" spans="1:6" x14ac:dyDescent="0.35">
      <c r="A893">
        <v>4522</v>
      </c>
      <c r="B893" s="1">
        <v>45080</v>
      </c>
      <c r="C893">
        <v>858.01</v>
      </c>
      <c r="D893" t="s">
        <v>12</v>
      </c>
      <c r="E893">
        <v>195643</v>
      </c>
      <c r="F893" t="s">
        <v>9</v>
      </c>
    </row>
    <row r="894" spans="1:6" x14ac:dyDescent="0.35">
      <c r="A894">
        <v>7251</v>
      </c>
      <c r="B894" s="1">
        <v>45080</v>
      </c>
      <c r="C894">
        <v>22.49</v>
      </c>
      <c r="D894" t="s">
        <v>12</v>
      </c>
      <c r="E894">
        <v>503489</v>
      </c>
      <c r="F894" t="s">
        <v>7</v>
      </c>
    </row>
    <row r="895" spans="1:6" x14ac:dyDescent="0.35">
      <c r="A895">
        <v>2011</v>
      </c>
      <c r="B895" s="1">
        <v>45080</v>
      </c>
      <c r="C895">
        <v>552.16999999999996</v>
      </c>
      <c r="D895" t="s">
        <v>12</v>
      </c>
      <c r="E895">
        <v>700521</v>
      </c>
      <c r="F895" t="s">
        <v>9</v>
      </c>
    </row>
    <row r="896" spans="1:6" x14ac:dyDescent="0.35">
      <c r="A896">
        <v>7862</v>
      </c>
      <c r="B896" s="1">
        <v>45080</v>
      </c>
      <c r="C896">
        <v>899.64</v>
      </c>
      <c r="D896" t="s">
        <v>8</v>
      </c>
      <c r="E896">
        <v>396439</v>
      </c>
      <c r="F896" t="s">
        <v>10</v>
      </c>
    </row>
    <row r="897" spans="1:6" x14ac:dyDescent="0.35">
      <c r="A897">
        <v>8595</v>
      </c>
      <c r="B897" s="1">
        <v>45080</v>
      </c>
      <c r="C897">
        <v>649.64</v>
      </c>
      <c r="D897" t="s">
        <v>8</v>
      </c>
      <c r="E897">
        <v>857750</v>
      </c>
      <c r="F897" t="s">
        <v>10</v>
      </c>
    </row>
    <row r="898" spans="1:6" x14ac:dyDescent="0.35">
      <c r="A898">
        <v>9311</v>
      </c>
      <c r="B898" s="1">
        <v>45080</v>
      </c>
      <c r="C898">
        <v>514.62</v>
      </c>
      <c r="D898" t="s">
        <v>13</v>
      </c>
      <c r="E898">
        <v>843167</v>
      </c>
      <c r="F898" t="s">
        <v>11</v>
      </c>
    </row>
    <row r="899" spans="1:6" x14ac:dyDescent="0.35">
      <c r="A899">
        <v>8484</v>
      </c>
      <c r="B899" s="1">
        <v>45081</v>
      </c>
      <c r="C899">
        <v>309.10000000000002</v>
      </c>
      <c r="D899" t="s">
        <v>13</v>
      </c>
      <c r="E899">
        <v>994787</v>
      </c>
      <c r="F899" t="s">
        <v>7</v>
      </c>
    </row>
    <row r="900" spans="1:6" x14ac:dyDescent="0.35">
      <c r="A900">
        <v>1891</v>
      </c>
      <c r="B900" s="1">
        <v>45081</v>
      </c>
      <c r="C900">
        <v>753.53</v>
      </c>
      <c r="D900" t="s">
        <v>13</v>
      </c>
      <c r="E900">
        <v>775990</v>
      </c>
      <c r="F900" t="s">
        <v>10</v>
      </c>
    </row>
    <row r="901" spans="1:6" x14ac:dyDescent="0.35">
      <c r="A901">
        <v>8369</v>
      </c>
      <c r="B901" s="1">
        <v>45081</v>
      </c>
      <c r="C901">
        <v>377.37</v>
      </c>
      <c r="D901" t="s">
        <v>12</v>
      </c>
      <c r="E901">
        <v>154040</v>
      </c>
      <c r="F901" t="s">
        <v>11</v>
      </c>
    </row>
    <row r="902" spans="1:6" x14ac:dyDescent="0.35">
      <c r="A902">
        <v>1439</v>
      </c>
      <c r="B902" s="1">
        <v>45081</v>
      </c>
      <c r="C902">
        <v>848.6</v>
      </c>
      <c r="D902" t="s">
        <v>6</v>
      </c>
      <c r="E902">
        <v>315425</v>
      </c>
      <c r="F902" t="s">
        <v>9</v>
      </c>
    </row>
    <row r="903" spans="1:6" x14ac:dyDescent="0.35">
      <c r="A903">
        <v>5281</v>
      </c>
      <c r="B903" s="1">
        <v>45081</v>
      </c>
      <c r="C903">
        <v>540.74</v>
      </c>
      <c r="D903" t="s">
        <v>6</v>
      </c>
      <c r="E903">
        <v>741603</v>
      </c>
      <c r="F903" t="s">
        <v>11</v>
      </c>
    </row>
    <row r="904" spans="1:6" x14ac:dyDescent="0.35">
      <c r="A904">
        <v>7164</v>
      </c>
      <c r="B904" s="1">
        <v>45081</v>
      </c>
      <c r="C904">
        <v>740.7</v>
      </c>
      <c r="D904" t="s">
        <v>6</v>
      </c>
      <c r="E904">
        <v>208998</v>
      </c>
      <c r="F904" t="s">
        <v>9</v>
      </c>
    </row>
    <row r="905" spans="1:6" x14ac:dyDescent="0.35">
      <c r="A905">
        <v>6383</v>
      </c>
      <c r="B905" s="1">
        <v>45081</v>
      </c>
      <c r="C905">
        <v>677.61</v>
      </c>
      <c r="D905" t="s">
        <v>13</v>
      </c>
      <c r="E905">
        <v>432043</v>
      </c>
      <c r="F905" t="s">
        <v>7</v>
      </c>
    </row>
    <row r="906" spans="1:6" x14ac:dyDescent="0.35">
      <c r="A906">
        <v>2556</v>
      </c>
      <c r="B906" s="1">
        <v>45081</v>
      </c>
      <c r="C906">
        <v>760.62</v>
      </c>
      <c r="D906" t="s">
        <v>8</v>
      </c>
      <c r="E906">
        <v>110142</v>
      </c>
      <c r="F906" t="s">
        <v>9</v>
      </c>
    </row>
    <row r="907" spans="1:6" x14ac:dyDescent="0.35">
      <c r="A907">
        <v>6319</v>
      </c>
      <c r="B907" s="1">
        <v>45081</v>
      </c>
      <c r="C907">
        <v>378</v>
      </c>
      <c r="D907" t="s">
        <v>13</v>
      </c>
      <c r="E907">
        <v>966286</v>
      </c>
      <c r="F907" t="s">
        <v>11</v>
      </c>
    </row>
    <row r="908" spans="1:6" x14ac:dyDescent="0.35">
      <c r="A908">
        <v>7511</v>
      </c>
      <c r="B908" s="1">
        <v>45081</v>
      </c>
      <c r="C908">
        <v>806.54</v>
      </c>
      <c r="D908" t="s">
        <v>6</v>
      </c>
      <c r="E908">
        <v>194689</v>
      </c>
      <c r="F908" t="s">
        <v>7</v>
      </c>
    </row>
    <row r="909" spans="1:6" x14ac:dyDescent="0.35">
      <c r="A909">
        <v>9452</v>
      </c>
      <c r="B909" s="1">
        <v>45081</v>
      </c>
      <c r="C909">
        <v>133.43</v>
      </c>
      <c r="D909" t="s">
        <v>8</v>
      </c>
      <c r="E909">
        <v>900185</v>
      </c>
      <c r="F909" t="s">
        <v>9</v>
      </c>
    </row>
    <row r="910" spans="1:6" x14ac:dyDescent="0.35">
      <c r="A910">
        <v>4868</v>
      </c>
      <c r="B910" s="1">
        <v>45081</v>
      </c>
      <c r="C910">
        <v>369.06</v>
      </c>
      <c r="D910" t="s">
        <v>6</v>
      </c>
      <c r="E910">
        <v>670913</v>
      </c>
      <c r="F910" t="s">
        <v>11</v>
      </c>
    </row>
    <row r="911" spans="1:6" x14ac:dyDescent="0.35">
      <c r="A911">
        <v>1721</v>
      </c>
      <c r="B911" s="1">
        <v>45081</v>
      </c>
      <c r="C911">
        <v>864.3</v>
      </c>
      <c r="D911" t="s">
        <v>12</v>
      </c>
      <c r="E911">
        <v>148215</v>
      </c>
      <c r="F911" t="s">
        <v>7</v>
      </c>
    </row>
    <row r="912" spans="1:6" x14ac:dyDescent="0.35">
      <c r="A912">
        <v>4014</v>
      </c>
      <c r="B912" s="1">
        <v>45081</v>
      </c>
      <c r="C912">
        <v>393.59</v>
      </c>
      <c r="D912" t="s">
        <v>13</v>
      </c>
      <c r="E912">
        <v>244192</v>
      </c>
      <c r="F912" t="s">
        <v>9</v>
      </c>
    </row>
    <row r="913" spans="1:6" x14ac:dyDescent="0.35">
      <c r="A913">
        <v>9054</v>
      </c>
      <c r="B913" s="1">
        <v>45081</v>
      </c>
      <c r="C913">
        <v>699.22</v>
      </c>
      <c r="D913" t="s">
        <v>8</v>
      </c>
      <c r="E913">
        <v>339030</v>
      </c>
      <c r="F913" t="s">
        <v>9</v>
      </c>
    </row>
    <row r="914" spans="1:6" x14ac:dyDescent="0.35">
      <c r="A914">
        <v>4948</v>
      </c>
      <c r="B914" s="1">
        <v>45081</v>
      </c>
      <c r="C914">
        <v>233.09</v>
      </c>
      <c r="D914" t="s">
        <v>12</v>
      </c>
      <c r="E914">
        <v>944917</v>
      </c>
      <c r="F914" t="s">
        <v>7</v>
      </c>
    </row>
    <row r="915" spans="1:6" x14ac:dyDescent="0.35">
      <c r="A915">
        <v>8598</v>
      </c>
      <c r="B915" s="1">
        <v>45081</v>
      </c>
      <c r="C915">
        <v>126.6</v>
      </c>
      <c r="D915" t="s">
        <v>8</v>
      </c>
      <c r="E915">
        <v>765213</v>
      </c>
      <c r="F915" t="s">
        <v>10</v>
      </c>
    </row>
    <row r="916" spans="1:6" x14ac:dyDescent="0.35">
      <c r="A916">
        <v>1305</v>
      </c>
      <c r="B916" s="1">
        <v>45081</v>
      </c>
      <c r="C916">
        <v>512.11</v>
      </c>
      <c r="D916" t="s">
        <v>8</v>
      </c>
      <c r="E916">
        <v>952117</v>
      </c>
      <c r="F916" t="s">
        <v>7</v>
      </c>
    </row>
    <row r="917" spans="1:6" x14ac:dyDescent="0.35">
      <c r="A917">
        <v>4913</v>
      </c>
      <c r="B917" s="1">
        <v>45081</v>
      </c>
      <c r="C917">
        <v>964.36</v>
      </c>
      <c r="D917" t="s">
        <v>12</v>
      </c>
      <c r="E917">
        <v>893988</v>
      </c>
      <c r="F917" t="s">
        <v>9</v>
      </c>
    </row>
    <row r="918" spans="1:6" x14ac:dyDescent="0.35">
      <c r="A918">
        <v>3262</v>
      </c>
      <c r="B918" s="1">
        <v>45081</v>
      </c>
      <c r="C918">
        <v>865.19</v>
      </c>
      <c r="D918" t="s">
        <v>8</v>
      </c>
      <c r="E918">
        <v>884140</v>
      </c>
      <c r="F918" t="s">
        <v>9</v>
      </c>
    </row>
    <row r="919" spans="1:6" x14ac:dyDescent="0.35">
      <c r="A919">
        <v>1207</v>
      </c>
      <c r="B919" s="1">
        <v>45081</v>
      </c>
      <c r="C919">
        <v>425.86</v>
      </c>
      <c r="D919" t="s">
        <v>13</v>
      </c>
      <c r="E919">
        <v>210665</v>
      </c>
      <c r="F919" t="s">
        <v>7</v>
      </c>
    </row>
    <row r="920" spans="1:6" x14ac:dyDescent="0.35">
      <c r="A920">
        <v>4878</v>
      </c>
      <c r="B920" s="1">
        <v>45082</v>
      </c>
      <c r="C920">
        <v>170.88</v>
      </c>
      <c r="D920" t="s">
        <v>12</v>
      </c>
      <c r="E920">
        <v>532322</v>
      </c>
      <c r="F920" t="s">
        <v>10</v>
      </c>
    </row>
    <row r="921" spans="1:6" x14ac:dyDescent="0.35">
      <c r="A921">
        <v>9564</v>
      </c>
      <c r="B921" s="1">
        <v>45082</v>
      </c>
      <c r="C921">
        <v>910.25</v>
      </c>
      <c r="D921" t="s">
        <v>13</v>
      </c>
      <c r="E921">
        <v>966662</v>
      </c>
      <c r="F921" t="s">
        <v>9</v>
      </c>
    </row>
    <row r="922" spans="1:6" x14ac:dyDescent="0.35">
      <c r="A922">
        <v>5564</v>
      </c>
      <c r="B922" s="1">
        <v>45082</v>
      </c>
      <c r="C922">
        <v>78.73</v>
      </c>
      <c r="D922" t="s">
        <v>6</v>
      </c>
      <c r="E922">
        <v>468203</v>
      </c>
      <c r="F922" t="s">
        <v>7</v>
      </c>
    </row>
    <row r="923" spans="1:6" x14ac:dyDescent="0.35">
      <c r="A923">
        <v>6323</v>
      </c>
      <c r="B923" s="1">
        <v>45082</v>
      </c>
      <c r="C923">
        <v>462.97</v>
      </c>
      <c r="D923" t="s">
        <v>12</v>
      </c>
      <c r="E923">
        <v>548324</v>
      </c>
      <c r="F923" t="s">
        <v>7</v>
      </c>
    </row>
    <row r="924" spans="1:6" x14ac:dyDescent="0.35">
      <c r="A924">
        <v>8620</v>
      </c>
      <c r="B924" s="1">
        <v>45082</v>
      </c>
      <c r="C924">
        <v>289.48</v>
      </c>
      <c r="D924" t="s">
        <v>6</v>
      </c>
      <c r="E924">
        <v>443199</v>
      </c>
      <c r="F924" t="s">
        <v>10</v>
      </c>
    </row>
    <row r="925" spans="1:6" x14ac:dyDescent="0.35">
      <c r="A925">
        <v>9462</v>
      </c>
      <c r="B925" s="1">
        <v>45082</v>
      </c>
      <c r="C925">
        <v>380.17</v>
      </c>
      <c r="D925" t="s">
        <v>8</v>
      </c>
      <c r="E925">
        <v>640299</v>
      </c>
      <c r="F925" t="s">
        <v>9</v>
      </c>
    </row>
    <row r="926" spans="1:6" x14ac:dyDescent="0.35">
      <c r="A926">
        <v>3656</v>
      </c>
      <c r="B926" s="1">
        <v>45082</v>
      </c>
      <c r="C926">
        <v>153.16</v>
      </c>
      <c r="D926" t="s">
        <v>8</v>
      </c>
      <c r="E926">
        <v>539963</v>
      </c>
      <c r="F926" t="s">
        <v>11</v>
      </c>
    </row>
    <row r="927" spans="1:6" x14ac:dyDescent="0.35">
      <c r="A927">
        <v>3972</v>
      </c>
      <c r="B927" s="1">
        <v>45082</v>
      </c>
      <c r="C927">
        <v>151.82</v>
      </c>
      <c r="D927" t="s">
        <v>13</v>
      </c>
      <c r="E927">
        <v>172965</v>
      </c>
      <c r="F927" t="s">
        <v>9</v>
      </c>
    </row>
    <row r="928" spans="1:6" x14ac:dyDescent="0.35">
      <c r="A928">
        <v>5067</v>
      </c>
      <c r="B928" s="1">
        <v>45082</v>
      </c>
      <c r="C928">
        <v>903.29</v>
      </c>
      <c r="D928" t="s">
        <v>6</v>
      </c>
      <c r="E928">
        <v>705748</v>
      </c>
      <c r="F928" t="s">
        <v>11</v>
      </c>
    </row>
    <row r="929" spans="1:6" x14ac:dyDescent="0.35">
      <c r="A929">
        <v>2975</v>
      </c>
      <c r="B929" s="1">
        <v>45082</v>
      </c>
      <c r="C929">
        <v>428.09</v>
      </c>
      <c r="D929" t="s">
        <v>12</v>
      </c>
      <c r="E929">
        <v>600905</v>
      </c>
      <c r="F929" t="s">
        <v>10</v>
      </c>
    </row>
    <row r="930" spans="1:6" x14ac:dyDescent="0.35">
      <c r="A930">
        <v>3604</v>
      </c>
      <c r="B930" s="1">
        <v>45082</v>
      </c>
      <c r="C930">
        <v>933.4</v>
      </c>
      <c r="D930" t="s">
        <v>6</v>
      </c>
      <c r="E930">
        <v>197874</v>
      </c>
      <c r="F930" t="s">
        <v>11</v>
      </c>
    </row>
    <row r="931" spans="1:6" x14ac:dyDescent="0.35">
      <c r="A931">
        <v>1514</v>
      </c>
      <c r="B931" s="1">
        <v>45082</v>
      </c>
      <c r="C931">
        <v>337.12</v>
      </c>
      <c r="D931" t="s">
        <v>12</v>
      </c>
      <c r="E931">
        <v>392004</v>
      </c>
      <c r="F931" t="s">
        <v>7</v>
      </c>
    </row>
    <row r="932" spans="1:6" x14ac:dyDescent="0.35">
      <c r="A932">
        <v>5687</v>
      </c>
      <c r="B932" s="1">
        <v>45082</v>
      </c>
      <c r="C932">
        <v>540.28</v>
      </c>
      <c r="D932" t="s">
        <v>6</v>
      </c>
      <c r="E932">
        <v>530849</v>
      </c>
      <c r="F932" t="s">
        <v>11</v>
      </c>
    </row>
    <row r="933" spans="1:6" x14ac:dyDescent="0.35">
      <c r="A933">
        <v>6328</v>
      </c>
      <c r="B933" s="1">
        <v>45082</v>
      </c>
      <c r="C933">
        <v>481.39</v>
      </c>
      <c r="D933" t="s">
        <v>6</v>
      </c>
      <c r="E933">
        <v>675191</v>
      </c>
      <c r="F933" t="s">
        <v>7</v>
      </c>
    </row>
    <row r="934" spans="1:6" x14ac:dyDescent="0.35">
      <c r="A934">
        <v>3267</v>
      </c>
      <c r="B934" s="1">
        <v>45082</v>
      </c>
      <c r="C934">
        <v>257.5</v>
      </c>
      <c r="D934" t="s">
        <v>13</v>
      </c>
      <c r="E934">
        <v>489244</v>
      </c>
      <c r="F934" t="s">
        <v>10</v>
      </c>
    </row>
    <row r="935" spans="1:6" x14ac:dyDescent="0.35">
      <c r="A935">
        <v>7717</v>
      </c>
      <c r="B935" s="1">
        <v>45082</v>
      </c>
      <c r="C935">
        <v>658.23</v>
      </c>
      <c r="D935" t="s">
        <v>12</v>
      </c>
      <c r="E935">
        <v>178463</v>
      </c>
      <c r="F935" t="s">
        <v>7</v>
      </c>
    </row>
    <row r="936" spans="1:6" x14ac:dyDescent="0.35">
      <c r="A936">
        <v>6327</v>
      </c>
      <c r="B936" s="1">
        <v>45082</v>
      </c>
      <c r="C936">
        <v>284.12</v>
      </c>
      <c r="D936" t="s">
        <v>6</v>
      </c>
      <c r="E936">
        <v>297509</v>
      </c>
      <c r="F936" t="s">
        <v>9</v>
      </c>
    </row>
    <row r="937" spans="1:6" x14ac:dyDescent="0.35">
      <c r="A937">
        <v>9622</v>
      </c>
      <c r="B937" s="1">
        <v>45082</v>
      </c>
      <c r="C937">
        <v>371.24</v>
      </c>
      <c r="D937" t="s">
        <v>8</v>
      </c>
      <c r="E937">
        <v>491738</v>
      </c>
      <c r="F937" t="s">
        <v>7</v>
      </c>
    </row>
    <row r="938" spans="1:6" x14ac:dyDescent="0.35">
      <c r="A938">
        <v>1878</v>
      </c>
      <c r="B938" s="1">
        <v>45082</v>
      </c>
      <c r="C938">
        <v>365.45</v>
      </c>
      <c r="D938" t="s">
        <v>8</v>
      </c>
      <c r="E938">
        <v>608149</v>
      </c>
      <c r="F938" t="s">
        <v>9</v>
      </c>
    </row>
    <row r="939" spans="1:6" x14ac:dyDescent="0.35">
      <c r="A939">
        <v>6295</v>
      </c>
      <c r="B939" s="1">
        <v>45082</v>
      </c>
      <c r="C939">
        <v>971.26</v>
      </c>
      <c r="D939" t="s">
        <v>6</v>
      </c>
      <c r="E939">
        <v>258290</v>
      </c>
      <c r="F939" t="s">
        <v>7</v>
      </c>
    </row>
    <row r="940" spans="1:6" x14ac:dyDescent="0.35">
      <c r="A940">
        <v>3926</v>
      </c>
      <c r="B940" s="1">
        <v>45082</v>
      </c>
      <c r="C940">
        <v>40.96</v>
      </c>
      <c r="D940" t="s">
        <v>8</v>
      </c>
      <c r="E940">
        <v>608947</v>
      </c>
      <c r="F940" t="s">
        <v>9</v>
      </c>
    </row>
    <row r="941" spans="1:6" x14ac:dyDescent="0.35">
      <c r="A941">
        <v>3223</v>
      </c>
      <c r="B941" s="1">
        <v>45082</v>
      </c>
      <c r="C941">
        <v>467.08</v>
      </c>
      <c r="D941" t="s">
        <v>8</v>
      </c>
      <c r="E941">
        <v>372793</v>
      </c>
      <c r="F941" t="s">
        <v>7</v>
      </c>
    </row>
    <row r="942" spans="1:6" x14ac:dyDescent="0.35">
      <c r="A942">
        <v>7622</v>
      </c>
      <c r="B942" s="1">
        <v>45082</v>
      </c>
      <c r="C942">
        <v>519.45000000000005</v>
      </c>
      <c r="D942" t="s">
        <v>8</v>
      </c>
      <c r="E942">
        <v>789606</v>
      </c>
      <c r="F942" t="s">
        <v>7</v>
      </c>
    </row>
    <row r="943" spans="1:6" x14ac:dyDescent="0.35">
      <c r="A943">
        <v>8105</v>
      </c>
      <c r="B943" s="1">
        <v>45083</v>
      </c>
      <c r="C943">
        <v>689.91</v>
      </c>
      <c r="D943" t="s">
        <v>12</v>
      </c>
      <c r="E943">
        <v>459381</v>
      </c>
      <c r="F943" t="s">
        <v>7</v>
      </c>
    </row>
    <row r="944" spans="1:6" x14ac:dyDescent="0.35">
      <c r="A944">
        <v>8736</v>
      </c>
      <c r="B944" s="1">
        <v>45083</v>
      </c>
      <c r="C944">
        <v>202.6</v>
      </c>
      <c r="D944" t="s">
        <v>8</v>
      </c>
      <c r="E944">
        <v>813763</v>
      </c>
      <c r="F944" t="s">
        <v>7</v>
      </c>
    </row>
    <row r="945" spans="1:6" x14ac:dyDescent="0.35">
      <c r="A945">
        <v>5221</v>
      </c>
      <c r="B945" s="1">
        <v>45083</v>
      </c>
      <c r="C945">
        <v>393.3</v>
      </c>
      <c r="D945" t="s">
        <v>8</v>
      </c>
      <c r="E945">
        <v>681896</v>
      </c>
      <c r="F945" t="s">
        <v>11</v>
      </c>
    </row>
    <row r="946" spans="1:6" x14ac:dyDescent="0.35">
      <c r="A946">
        <v>2391</v>
      </c>
      <c r="B946" s="1">
        <v>45083</v>
      </c>
      <c r="C946">
        <v>62.08</v>
      </c>
      <c r="D946" t="s">
        <v>12</v>
      </c>
      <c r="E946">
        <v>891083</v>
      </c>
      <c r="F946" t="s">
        <v>10</v>
      </c>
    </row>
    <row r="947" spans="1:6" x14ac:dyDescent="0.35">
      <c r="A947">
        <v>1305</v>
      </c>
      <c r="B947" s="1">
        <v>45083</v>
      </c>
      <c r="C947">
        <v>722.35</v>
      </c>
      <c r="D947" t="s">
        <v>6</v>
      </c>
      <c r="E947">
        <v>189913</v>
      </c>
      <c r="F947" t="s">
        <v>9</v>
      </c>
    </row>
    <row r="948" spans="1:6" x14ac:dyDescent="0.35">
      <c r="A948">
        <v>6517</v>
      </c>
      <c r="B948" s="1">
        <v>45083</v>
      </c>
      <c r="C948">
        <v>768.64</v>
      </c>
      <c r="D948" t="s">
        <v>12</v>
      </c>
      <c r="E948">
        <v>726258</v>
      </c>
      <c r="F948" t="s">
        <v>7</v>
      </c>
    </row>
    <row r="949" spans="1:6" x14ac:dyDescent="0.35">
      <c r="A949">
        <v>5990</v>
      </c>
      <c r="B949" s="1">
        <v>45083</v>
      </c>
      <c r="C949">
        <v>513.25</v>
      </c>
      <c r="D949" t="s">
        <v>12</v>
      </c>
      <c r="E949">
        <v>786393</v>
      </c>
      <c r="F949" t="s">
        <v>7</v>
      </c>
    </row>
    <row r="950" spans="1:6" x14ac:dyDescent="0.35">
      <c r="A950">
        <v>4624</v>
      </c>
      <c r="B950" s="1">
        <v>45083</v>
      </c>
      <c r="C950">
        <v>221.22</v>
      </c>
      <c r="D950" t="s">
        <v>6</v>
      </c>
      <c r="E950">
        <v>447148</v>
      </c>
      <c r="F950" t="s">
        <v>11</v>
      </c>
    </row>
    <row r="951" spans="1:6" x14ac:dyDescent="0.35">
      <c r="A951">
        <v>7997</v>
      </c>
      <c r="B951" s="1">
        <v>45083</v>
      </c>
      <c r="C951">
        <v>113.06</v>
      </c>
      <c r="D951" t="s">
        <v>12</v>
      </c>
      <c r="E951">
        <v>676680</v>
      </c>
      <c r="F951" t="s">
        <v>7</v>
      </c>
    </row>
    <row r="952" spans="1:6" x14ac:dyDescent="0.35">
      <c r="A952">
        <v>7022</v>
      </c>
      <c r="B952" s="1">
        <v>45083</v>
      </c>
      <c r="C952">
        <v>306.26</v>
      </c>
      <c r="D952" t="s">
        <v>13</v>
      </c>
      <c r="E952">
        <v>911032</v>
      </c>
      <c r="F952" t="s">
        <v>9</v>
      </c>
    </row>
    <row r="953" spans="1:6" x14ac:dyDescent="0.35">
      <c r="A953">
        <v>1480</v>
      </c>
      <c r="B953" s="1">
        <v>45084</v>
      </c>
      <c r="C953">
        <v>812.58</v>
      </c>
      <c r="D953" t="s">
        <v>6</v>
      </c>
      <c r="E953">
        <v>161437</v>
      </c>
      <c r="F953" t="s">
        <v>7</v>
      </c>
    </row>
    <row r="954" spans="1:6" x14ac:dyDescent="0.35">
      <c r="A954">
        <v>9066</v>
      </c>
      <c r="B954" s="1">
        <v>45084</v>
      </c>
      <c r="C954">
        <v>985.51</v>
      </c>
      <c r="D954" t="s">
        <v>6</v>
      </c>
      <c r="E954">
        <v>614646</v>
      </c>
      <c r="F954" t="s">
        <v>9</v>
      </c>
    </row>
    <row r="955" spans="1:6" x14ac:dyDescent="0.35">
      <c r="A955">
        <v>8622</v>
      </c>
      <c r="B955" s="1">
        <v>45084</v>
      </c>
      <c r="C955">
        <v>294.76</v>
      </c>
      <c r="D955" t="s">
        <v>12</v>
      </c>
      <c r="E955">
        <v>177449</v>
      </c>
      <c r="F955" t="s">
        <v>7</v>
      </c>
    </row>
    <row r="956" spans="1:6" x14ac:dyDescent="0.35">
      <c r="A956">
        <v>2143</v>
      </c>
      <c r="B956" s="1">
        <v>45084</v>
      </c>
      <c r="C956">
        <v>201.56</v>
      </c>
      <c r="D956" t="s">
        <v>13</v>
      </c>
      <c r="E956">
        <v>572536</v>
      </c>
      <c r="F956" t="s">
        <v>11</v>
      </c>
    </row>
    <row r="957" spans="1:6" x14ac:dyDescent="0.35">
      <c r="A957">
        <v>2926</v>
      </c>
      <c r="B957" s="1">
        <v>45084</v>
      </c>
      <c r="C957">
        <v>140.26</v>
      </c>
      <c r="D957" t="s">
        <v>12</v>
      </c>
      <c r="E957">
        <v>103704</v>
      </c>
      <c r="F957" t="s">
        <v>11</v>
      </c>
    </row>
    <row r="958" spans="1:6" x14ac:dyDescent="0.35">
      <c r="A958">
        <v>2562</v>
      </c>
      <c r="B958" s="1">
        <v>45084</v>
      </c>
      <c r="C958">
        <v>532.88</v>
      </c>
      <c r="D958" t="s">
        <v>8</v>
      </c>
      <c r="E958">
        <v>340927</v>
      </c>
      <c r="F958" t="s">
        <v>9</v>
      </c>
    </row>
    <row r="959" spans="1:6" x14ac:dyDescent="0.35">
      <c r="A959">
        <v>1230</v>
      </c>
      <c r="B959" s="1">
        <v>45084</v>
      </c>
      <c r="C959">
        <v>328.99</v>
      </c>
      <c r="D959" t="s">
        <v>12</v>
      </c>
      <c r="E959">
        <v>118786</v>
      </c>
      <c r="F959" t="s">
        <v>10</v>
      </c>
    </row>
    <row r="960" spans="1:6" x14ac:dyDescent="0.35">
      <c r="A960">
        <v>5107</v>
      </c>
      <c r="B960" s="1">
        <v>45084</v>
      </c>
      <c r="C960">
        <v>49.09</v>
      </c>
      <c r="D960" t="s">
        <v>13</v>
      </c>
      <c r="E960">
        <v>686179</v>
      </c>
      <c r="F960" t="s">
        <v>11</v>
      </c>
    </row>
    <row r="961" spans="1:6" x14ac:dyDescent="0.35">
      <c r="A961">
        <v>3203</v>
      </c>
      <c r="B961" s="1">
        <v>45084</v>
      </c>
      <c r="C961">
        <v>850.9</v>
      </c>
      <c r="D961" t="s">
        <v>6</v>
      </c>
      <c r="E961">
        <v>923481</v>
      </c>
      <c r="F961" t="s">
        <v>7</v>
      </c>
    </row>
    <row r="962" spans="1:6" x14ac:dyDescent="0.35">
      <c r="A962">
        <v>5114</v>
      </c>
      <c r="B962" s="1">
        <v>45084</v>
      </c>
      <c r="C962">
        <v>909.08</v>
      </c>
      <c r="D962" t="s">
        <v>8</v>
      </c>
      <c r="E962">
        <v>196781</v>
      </c>
      <c r="F962" t="s">
        <v>7</v>
      </c>
    </row>
    <row r="963" spans="1:6" x14ac:dyDescent="0.35">
      <c r="A963">
        <v>7135</v>
      </c>
      <c r="B963" s="1">
        <v>45084</v>
      </c>
      <c r="C963">
        <v>388.65</v>
      </c>
      <c r="D963" t="s">
        <v>13</v>
      </c>
      <c r="E963">
        <v>493892</v>
      </c>
      <c r="F963" t="s">
        <v>10</v>
      </c>
    </row>
    <row r="964" spans="1:6" x14ac:dyDescent="0.35">
      <c r="A964">
        <v>9582</v>
      </c>
      <c r="B964" s="1">
        <v>45085</v>
      </c>
      <c r="C964">
        <v>143.9</v>
      </c>
      <c r="D964" t="s">
        <v>12</v>
      </c>
      <c r="E964">
        <v>788108</v>
      </c>
      <c r="F964" t="s">
        <v>9</v>
      </c>
    </row>
    <row r="965" spans="1:6" x14ac:dyDescent="0.35">
      <c r="A965">
        <v>4517</v>
      </c>
      <c r="B965" s="1">
        <v>45085</v>
      </c>
      <c r="C965">
        <v>195.28</v>
      </c>
      <c r="D965" t="s">
        <v>6</v>
      </c>
      <c r="E965">
        <v>567676</v>
      </c>
      <c r="F965" t="s">
        <v>9</v>
      </c>
    </row>
    <row r="966" spans="1:6" x14ac:dyDescent="0.35">
      <c r="A966">
        <v>9317</v>
      </c>
      <c r="B966" s="1">
        <v>45085</v>
      </c>
      <c r="C966">
        <v>115.35</v>
      </c>
      <c r="D966" t="s">
        <v>6</v>
      </c>
      <c r="E966">
        <v>982554</v>
      </c>
      <c r="F966" t="s">
        <v>9</v>
      </c>
    </row>
    <row r="967" spans="1:6" x14ac:dyDescent="0.35">
      <c r="A967">
        <v>1803</v>
      </c>
      <c r="B967" s="1">
        <v>45085</v>
      </c>
      <c r="C967">
        <v>610.34</v>
      </c>
      <c r="D967" t="s">
        <v>13</v>
      </c>
      <c r="E967">
        <v>973294</v>
      </c>
      <c r="F967" t="s">
        <v>11</v>
      </c>
    </row>
    <row r="968" spans="1:6" x14ac:dyDescent="0.35">
      <c r="A968">
        <v>2964</v>
      </c>
      <c r="B968" s="1">
        <v>45085</v>
      </c>
      <c r="C968">
        <v>87.7</v>
      </c>
      <c r="D968" t="s">
        <v>13</v>
      </c>
      <c r="E968">
        <v>743644</v>
      </c>
      <c r="F968" t="s">
        <v>10</v>
      </c>
    </row>
    <row r="969" spans="1:6" x14ac:dyDescent="0.35">
      <c r="A969">
        <v>8532</v>
      </c>
      <c r="B969" s="1">
        <v>45085</v>
      </c>
      <c r="C969">
        <v>87.08</v>
      </c>
      <c r="D969" t="s">
        <v>6</v>
      </c>
      <c r="E969">
        <v>703727</v>
      </c>
      <c r="F969" t="s">
        <v>7</v>
      </c>
    </row>
    <row r="970" spans="1:6" x14ac:dyDescent="0.35">
      <c r="A970">
        <v>4729</v>
      </c>
      <c r="B970" s="1">
        <v>45085</v>
      </c>
      <c r="C970">
        <v>266.06</v>
      </c>
      <c r="D970" t="s">
        <v>13</v>
      </c>
      <c r="E970">
        <v>573039</v>
      </c>
      <c r="F970" t="s">
        <v>7</v>
      </c>
    </row>
    <row r="971" spans="1:6" x14ac:dyDescent="0.35">
      <c r="A971">
        <v>8381</v>
      </c>
      <c r="B971" s="1">
        <v>45085</v>
      </c>
      <c r="C971">
        <v>448.29</v>
      </c>
      <c r="D971" t="s">
        <v>13</v>
      </c>
      <c r="E971">
        <v>420214</v>
      </c>
      <c r="F971" t="s">
        <v>10</v>
      </c>
    </row>
    <row r="972" spans="1:6" x14ac:dyDescent="0.35">
      <c r="A972">
        <v>4485</v>
      </c>
      <c r="B972" s="1">
        <v>45085</v>
      </c>
      <c r="C972">
        <v>46.29</v>
      </c>
      <c r="D972" t="s">
        <v>6</v>
      </c>
      <c r="E972">
        <v>669868</v>
      </c>
      <c r="F972" t="s">
        <v>7</v>
      </c>
    </row>
    <row r="973" spans="1:6" x14ac:dyDescent="0.35">
      <c r="A973">
        <v>6916</v>
      </c>
      <c r="B973" s="1">
        <v>45086</v>
      </c>
      <c r="C973">
        <v>323.31</v>
      </c>
      <c r="D973" t="s">
        <v>13</v>
      </c>
      <c r="E973">
        <v>979727</v>
      </c>
      <c r="F973" t="s">
        <v>7</v>
      </c>
    </row>
    <row r="974" spans="1:6" x14ac:dyDescent="0.35">
      <c r="A974">
        <v>7296</v>
      </c>
      <c r="B974" s="1">
        <v>45086</v>
      </c>
      <c r="C974">
        <v>984.6</v>
      </c>
      <c r="D974" t="s">
        <v>6</v>
      </c>
      <c r="E974">
        <v>846172</v>
      </c>
      <c r="F974" t="s">
        <v>10</v>
      </c>
    </row>
    <row r="975" spans="1:6" x14ac:dyDescent="0.35">
      <c r="A975">
        <v>5905</v>
      </c>
      <c r="B975" s="1">
        <v>45086</v>
      </c>
      <c r="C975">
        <v>666.75</v>
      </c>
      <c r="D975" t="s">
        <v>12</v>
      </c>
      <c r="E975">
        <v>377312</v>
      </c>
      <c r="F975" t="s">
        <v>10</v>
      </c>
    </row>
    <row r="976" spans="1:6" x14ac:dyDescent="0.35">
      <c r="A976">
        <v>8450</v>
      </c>
      <c r="B976" s="1">
        <v>45086</v>
      </c>
      <c r="C976">
        <v>409.92</v>
      </c>
      <c r="D976" t="s">
        <v>8</v>
      </c>
      <c r="E976">
        <v>373791</v>
      </c>
      <c r="F976" t="s">
        <v>9</v>
      </c>
    </row>
    <row r="977" spans="1:6" x14ac:dyDescent="0.35">
      <c r="A977">
        <v>6544</v>
      </c>
      <c r="B977" s="1">
        <v>45086</v>
      </c>
      <c r="C977">
        <v>969.96</v>
      </c>
      <c r="D977" t="s">
        <v>8</v>
      </c>
      <c r="E977">
        <v>162678</v>
      </c>
      <c r="F977" t="s">
        <v>11</v>
      </c>
    </row>
    <row r="978" spans="1:6" x14ac:dyDescent="0.35">
      <c r="A978">
        <v>4470</v>
      </c>
      <c r="B978" s="1">
        <v>45086</v>
      </c>
      <c r="C978">
        <v>198.12</v>
      </c>
      <c r="D978" t="s">
        <v>8</v>
      </c>
      <c r="E978">
        <v>883159</v>
      </c>
      <c r="F978" t="s">
        <v>7</v>
      </c>
    </row>
    <row r="979" spans="1:6" x14ac:dyDescent="0.35">
      <c r="A979">
        <v>7018</v>
      </c>
      <c r="B979" s="1">
        <v>45086</v>
      </c>
      <c r="C979">
        <v>799.32</v>
      </c>
      <c r="D979" t="s">
        <v>6</v>
      </c>
      <c r="E979">
        <v>940064</v>
      </c>
      <c r="F979" t="s">
        <v>10</v>
      </c>
    </row>
    <row r="980" spans="1:6" x14ac:dyDescent="0.35">
      <c r="A980">
        <v>6860</v>
      </c>
      <c r="B980" s="1">
        <v>45086</v>
      </c>
      <c r="C980">
        <v>507.81</v>
      </c>
      <c r="D980" t="s">
        <v>6</v>
      </c>
      <c r="E980">
        <v>925115</v>
      </c>
      <c r="F980" t="s">
        <v>11</v>
      </c>
    </row>
    <row r="981" spans="1:6" x14ac:dyDescent="0.35">
      <c r="A981">
        <v>4052</v>
      </c>
      <c r="B981" s="1">
        <v>45086</v>
      </c>
      <c r="C981">
        <v>751.51</v>
      </c>
      <c r="D981" t="s">
        <v>6</v>
      </c>
      <c r="E981">
        <v>139286</v>
      </c>
      <c r="F981" t="s">
        <v>10</v>
      </c>
    </row>
    <row r="982" spans="1:6" x14ac:dyDescent="0.35">
      <c r="A982">
        <v>3880</v>
      </c>
      <c r="B982" s="1">
        <v>45086</v>
      </c>
      <c r="C982">
        <v>920.44</v>
      </c>
      <c r="D982" t="s">
        <v>13</v>
      </c>
      <c r="E982">
        <v>926236</v>
      </c>
      <c r="F982" t="s">
        <v>7</v>
      </c>
    </row>
    <row r="983" spans="1:6" x14ac:dyDescent="0.35">
      <c r="A983">
        <v>6761</v>
      </c>
      <c r="B983" s="1">
        <v>45087</v>
      </c>
      <c r="C983">
        <v>571.97</v>
      </c>
      <c r="D983" t="s">
        <v>12</v>
      </c>
      <c r="E983">
        <v>690462</v>
      </c>
      <c r="F983" t="s">
        <v>9</v>
      </c>
    </row>
    <row r="984" spans="1:6" x14ac:dyDescent="0.35">
      <c r="A984">
        <v>3213</v>
      </c>
      <c r="B984" s="1">
        <v>45087</v>
      </c>
      <c r="C984">
        <v>700.65</v>
      </c>
      <c r="D984" t="s">
        <v>12</v>
      </c>
      <c r="E984">
        <v>719531</v>
      </c>
      <c r="F984" t="s">
        <v>7</v>
      </c>
    </row>
    <row r="985" spans="1:6" x14ac:dyDescent="0.35">
      <c r="A985">
        <v>2625</v>
      </c>
      <c r="B985" s="1">
        <v>45087</v>
      </c>
      <c r="C985">
        <v>765.11</v>
      </c>
      <c r="D985" t="s">
        <v>12</v>
      </c>
      <c r="E985">
        <v>377501</v>
      </c>
      <c r="F985" t="s">
        <v>10</v>
      </c>
    </row>
    <row r="986" spans="1:6" x14ac:dyDescent="0.35">
      <c r="A986">
        <v>6598</v>
      </c>
      <c r="B986" s="1">
        <v>45087</v>
      </c>
      <c r="C986">
        <v>768.49</v>
      </c>
      <c r="D986" t="s">
        <v>12</v>
      </c>
      <c r="E986">
        <v>337547</v>
      </c>
      <c r="F986" t="s">
        <v>9</v>
      </c>
    </row>
    <row r="987" spans="1:6" x14ac:dyDescent="0.35">
      <c r="A987">
        <v>2502</v>
      </c>
      <c r="B987" s="1">
        <v>45087</v>
      </c>
      <c r="C987">
        <v>911.4</v>
      </c>
      <c r="D987" t="s">
        <v>13</v>
      </c>
      <c r="E987">
        <v>466566</v>
      </c>
      <c r="F987" t="s">
        <v>10</v>
      </c>
    </row>
    <row r="988" spans="1:6" x14ac:dyDescent="0.35">
      <c r="A988">
        <v>7498</v>
      </c>
      <c r="B988" s="1">
        <v>45087</v>
      </c>
      <c r="C988">
        <v>717.86</v>
      </c>
      <c r="D988" t="s">
        <v>8</v>
      </c>
      <c r="E988">
        <v>720859</v>
      </c>
      <c r="F988" t="s">
        <v>9</v>
      </c>
    </row>
    <row r="989" spans="1:6" x14ac:dyDescent="0.35">
      <c r="A989">
        <v>3443</v>
      </c>
      <c r="B989" s="1">
        <v>45087</v>
      </c>
      <c r="C989">
        <v>99.18</v>
      </c>
      <c r="D989" t="s">
        <v>8</v>
      </c>
      <c r="E989">
        <v>858711</v>
      </c>
      <c r="F989" t="s">
        <v>10</v>
      </c>
    </row>
    <row r="990" spans="1:6" x14ac:dyDescent="0.35">
      <c r="A990">
        <v>1509</v>
      </c>
      <c r="B990" s="1">
        <v>45087</v>
      </c>
      <c r="C990">
        <v>410.35</v>
      </c>
      <c r="D990" t="s">
        <v>13</v>
      </c>
      <c r="E990">
        <v>682959</v>
      </c>
      <c r="F990" t="s">
        <v>9</v>
      </c>
    </row>
    <row r="991" spans="1:6" x14ac:dyDescent="0.35">
      <c r="A991">
        <v>1960</v>
      </c>
      <c r="B991" s="1">
        <v>45087</v>
      </c>
      <c r="C991">
        <v>845.91</v>
      </c>
      <c r="D991" t="s">
        <v>8</v>
      </c>
      <c r="E991">
        <v>536236</v>
      </c>
      <c r="F991" t="s">
        <v>7</v>
      </c>
    </row>
    <row r="992" spans="1:6" x14ac:dyDescent="0.35">
      <c r="A992">
        <v>6570</v>
      </c>
      <c r="B992" s="1">
        <v>45087</v>
      </c>
      <c r="C992">
        <v>125.84</v>
      </c>
      <c r="D992" t="s">
        <v>6</v>
      </c>
      <c r="E992">
        <v>664032</v>
      </c>
      <c r="F992" t="s">
        <v>11</v>
      </c>
    </row>
    <row r="993" spans="1:6" x14ac:dyDescent="0.35">
      <c r="A993">
        <v>1029</v>
      </c>
      <c r="B993" s="1">
        <v>45087</v>
      </c>
      <c r="C993">
        <v>704.99</v>
      </c>
      <c r="D993" t="s">
        <v>13</v>
      </c>
      <c r="E993">
        <v>992083</v>
      </c>
      <c r="F993" t="s">
        <v>10</v>
      </c>
    </row>
    <row r="994" spans="1:6" x14ac:dyDescent="0.35">
      <c r="A994">
        <v>5938</v>
      </c>
      <c r="B994" s="1">
        <v>45087</v>
      </c>
      <c r="C994">
        <v>219.12</v>
      </c>
      <c r="D994" t="s">
        <v>12</v>
      </c>
      <c r="E994">
        <v>901280</v>
      </c>
      <c r="F994" t="s">
        <v>11</v>
      </c>
    </row>
    <row r="995" spans="1:6" x14ac:dyDescent="0.35">
      <c r="A995">
        <v>1990</v>
      </c>
      <c r="B995" s="1">
        <v>45087</v>
      </c>
      <c r="C995">
        <v>791.4</v>
      </c>
      <c r="D995" t="s">
        <v>6</v>
      </c>
      <c r="E995">
        <v>759104</v>
      </c>
      <c r="F995" t="s">
        <v>7</v>
      </c>
    </row>
    <row r="996" spans="1:6" x14ac:dyDescent="0.35">
      <c r="A996">
        <v>4982</v>
      </c>
      <c r="B996" s="1">
        <v>45087</v>
      </c>
      <c r="C996">
        <v>624.79</v>
      </c>
      <c r="D996" t="s">
        <v>12</v>
      </c>
      <c r="E996">
        <v>972881</v>
      </c>
      <c r="F996" t="s">
        <v>11</v>
      </c>
    </row>
    <row r="997" spans="1:6" x14ac:dyDescent="0.35">
      <c r="A997">
        <v>2970</v>
      </c>
      <c r="B997" s="1">
        <v>45087</v>
      </c>
      <c r="C997">
        <v>759.62</v>
      </c>
      <c r="D997" t="s">
        <v>12</v>
      </c>
      <c r="E997">
        <v>275284</v>
      </c>
      <c r="F997" t="s">
        <v>9</v>
      </c>
    </row>
    <row r="998" spans="1:6" x14ac:dyDescent="0.35">
      <c r="A998">
        <v>6669</v>
      </c>
      <c r="B998" s="1">
        <v>45087</v>
      </c>
      <c r="C998">
        <v>941.5</v>
      </c>
      <c r="D998" t="s">
        <v>6</v>
      </c>
      <c r="E998">
        <v>987025</v>
      </c>
      <c r="F998" t="s">
        <v>10</v>
      </c>
    </row>
    <row r="999" spans="1:6" x14ac:dyDescent="0.35">
      <c r="A999">
        <v>8836</v>
      </c>
      <c r="B999" s="1">
        <v>45087</v>
      </c>
      <c r="C999">
        <v>545.36</v>
      </c>
      <c r="D999" t="s">
        <v>6</v>
      </c>
      <c r="E999">
        <v>512842</v>
      </c>
      <c r="F999" t="s">
        <v>9</v>
      </c>
    </row>
    <row r="1000" spans="1:6" x14ac:dyDescent="0.35">
      <c r="A1000">
        <v>1440</v>
      </c>
      <c r="B1000" s="1">
        <v>45087</v>
      </c>
      <c r="C1000">
        <v>729.94</v>
      </c>
      <c r="D1000" t="s">
        <v>12</v>
      </c>
      <c r="E1000">
        <v>559753</v>
      </c>
      <c r="F1000" t="s">
        <v>11</v>
      </c>
    </row>
    <row r="1001" spans="1:6" x14ac:dyDescent="0.35">
      <c r="A1001">
        <v>4759</v>
      </c>
      <c r="B1001" s="1">
        <v>45087</v>
      </c>
      <c r="C1001">
        <v>804.28</v>
      </c>
      <c r="D1001" t="s">
        <v>13</v>
      </c>
      <c r="E1001">
        <v>467544</v>
      </c>
      <c r="F100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D80F-B4AB-45C8-8BB1-855D44A6475F}">
  <dimension ref="A1:L948"/>
  <sheetViews>
    <sheetView tabSelected="1" topLeftCell="B1" zoomScale="73" workbookViewId="0">
      <pane ySplit="2" topLeftCell="A18" activePane="bottomLeft" state="frozen"/>
      <selection pane="bottomLeft" activeCell="H43" sqref="H43"/>
    </sheetView>
  </sheetViews>
  <sheetFormatPr defaultRowHeight="14.5" x14ac:dyDescent="0.35"/>
  <cols>
    <col min="1" max="1" width="10.81640625" bestFit="1" customWidth="1"/>
    <col min="2" max="2" width="8" bestFit="1" customWidth="1"/>
    <col min="3" max="3" width="9.7265625" bestFit="1" customWidth="1"/>
    <col min="4" max="4" width="9.26953125" style="12" bestFit="1" customWidth="1"/>
    <col min="5" max="5" width="9.81640625" bestFit="1" customWidth="1"/>
    <col min="6" max="6" width="17.1796875" bestFit="1" customWidth="1"/>
    <col min="8" max="8" width="23.7265625" style="14" customWidth="1"/>
    <col min="9" max="9" width="11.1796875" customWidth="1"/>
    <col min="10" max="10" width="12.7265625" bestFit="1" customWidth="1"/>
    <col min="11" max="11" width="14.54296875" bestFit="1" customWidth="1"/>
    <col min="12" max="12" width="14.08984375" customWidth="1"/>
  </cols>
  <sheetData>
    <row r="1" spans="1:12" ht="21" x14ac:dyDescent="0.35">
      <c r="A1" s="9" t="s">
        <v>40</v>
      </c>
      <c r="B1" s="9"/>
      <c r="C1" s="9"/>
      <c r="D1" s="9"/>
      <c r="E1" s="9"/>
      <c r="F1" s="9"/>
      <c r="G1" s="7"/>
      <c r="H1" s="7"/>
      <c r="I1" s="7"/>
    </row>
    <row r="2" spans="1:12" ht="29" x14ac:dyDescent="0.35">
      <c r="A2" s="10" t="s">
        <v>0</v>
      </c>
      <c r="B2" s="8" t="s">
        <v>14</v>
      </c>
      <c r="C2" s="8" t="s">
        <v>15</v>
      </c>
      <c r="D2" s="11" t="s">
        <v>16</v>
      </c>
      <c r="E2" s="8" t="s">
        <v>17</v>
      </c>
      <c r="F2" s="8" t="s">
        <v>18</v>
      </c>
      <c r="H2" s="14" t="s">
        <v>19</v>
      </c>
      <c r="J2" t="s">
        <v>21</v>
      </c>
      <c r="K2" t="s">
        <v>22</v>
      </c>
      <c r="L2" t="s">
        <v>23</v>
      </c>
    </row>
    <row r="3" spans="1:12" x14ac:dyDescent="0.35">
      <c r="A3" s="2" cm="1">
        <f t="array" ref="A3:A948">_xlfn._xlws.SORT(_xlfn.UNIQUE(Table1[CustomerID]))</f>
        <v>1011</v>
      </c>
      <c r="B3" s="3">
        <f>H$6-_xlfn.MAXIFS(Table1[PurchaseDate],Table1[CustomerID],A3)</f>
        <v>33</v>
      </c>
      <c r="C3">
        <f>COUNTIF(Table1[CustomerID],A3)</f>
        <v>2</v>
      </c>
      <c r="D3" s="12">
        <f>SUMIF(Table1[CustomerID],A3,Table1[TransactionAmount])</f>
        <v>1129.02</v>
      </c>
      <c r="E3" t="str">
        <f>J3&amp;K3&amp;L3</f>
        <v>335</v>
      </c>
      <c r="F3" t="str">
        <f>IF(AND(J3&gt;=4,K3&gt;=3,L3&gt;=4),"Champions",IF(AND(J3&gt;=3,K3&gt;=2,L3&gt;=3),"Loyal Customers",IF(AND(J3&gt;=3,L3&gt;=3),"Potential Loyalists",IF(AND(J3&lt;=2,L3&lt;=2),"At Risk","Needs Attention"))))</f>
        <v>Loyal Customers</v>
      </c>
      <c r="H3" s="14">
        <f>ROWS(_xlfn.ANCHORARRAY(A3))</f>
        <v>946</v>
      </c>
      <c r="J3">
        <f>ROUNDUP((COUNT($B$3:$B$948)-_xlfn.RANK.EQ(B3,$B$3:$B$948,1)+1)/COUNT($B$3:$B$948)*5,0)</f>
        <v>3</v>
      </c>
      <c r="K3">
        <f>IF(C3=1,1,IF(C3=2,3,IF(C3=3,4,5)))</f>
        <v>3</v>
      </c>
      <c r="L3">
        <f>IF(D3&gt;=_xlfn.PERCENTILE.INC($D$3:$D$948,0.8),5,IF(D3&gt;=_xlfn.PERCENTILE.INC($D$3:$D$948,0.6),4,IF(D3&gt;=_xlfn.PERCENTILE.INC($D$3:$D$948,0.4),3,IF(D3&gt;=_xlfn.PERCENTILE.INC($D$3:$D$948,0.2),2,1))))</f>
        <v>5</v>
      </c>
    </row>
    <row r="4" spans="1:12" x14ac:dyDescent="0.35">
      <c r="A4">
        <v>1025</v>
      </c>
      <c r="B4" s="3">
        <f>H$6-_xlfn.MAXIFS(Table1[PurchaseDate],Table1[CustomerID],A4)</f>
        <v>21</v>
      </c>
      <c r="C4">
        <f>COUNTIF(Table1[CustomerID],A4)</f>
        <v>1</v>
      </c>
      <c r="D4" s="12">
        <f>SUMIF(Table1[CustomerID],A4,Table1[TransactionAmount])</f>
        <v>359.29</v>
      </c>
      <c r="E4" t="str">
        <f t="shared" ref="E4:E67" si="0">J4&amp;K4&amp;L4</f>
        <v>412</v>
      </c>
      <c r="F4" t="str">
        <f t="shared" ref="F4:F67" si="1">IF(AND(J4&gt;=4,K4&gt;=3,L4&gt;=4),"Champions",IF(AND(J4&gt;=3,K4&gt;=2,L4&gt;=3),"Loyal Customers",IF(AND(J4&gt;=3,L4&gt;=3),"Potential Loyalists",IF(AND(J4&lt;=2,L4&lt;=2),"At Risk","Needs Attention"))))</f>
        <v>Needs Attention</v>
      </c>
      <c r="J4">
        <f t="shared" ref="J4:J67" si="2">ROUNDUP((COUNT($B$3:$B$948)-_xlfn.RANK.EQ(B4,$B$3:$B$948,1)+1)/COUNT($B$3:$B$948)*5,0)</f>
        <v>4</v>
      </c>
      <c r="K4">
        <f t="shared" ref="K4:K67" si="3">IF(C4=1,1,IF(C4=2,3,IF(C4=3,4,5)))</f>
        <v>1</v>
      </c>
      <c r="L4">
        <f t="shared" ref="L4:L67" si="4">IF(D4&gt;=_xlfn.PERCENTILE.INC($D$3:$D$948,0.8),5,IF(D4&gt;=_xlfn.PERCENTILE.INC($D$3:$D$948,0.6),4,IF(D4&gt;=_xlfn.PERCENTILE.INC($D$3:$D$948,0.4),3,IF(D4&gt;=_xlfn.PERCENTILE.INC($D$3:$D$948,0.2),2,1))))</f>
        <v>2</v>
      </c>
    </row>
    <row r="5" spans="1:12" x14ac:dyDescent="0.35">
      <c r="A5">
        <v>1029</v>
      </c>
      <c r="B5" s="3">
        <f>H$6-_xlfn.MAXIFS(Table1[PurchaseDate],Table1[CustomerID],A5)</f>
        <v>0</v>
      </c>
      <c r="C5">
        <f>COUNTIF(Table1[CustomerID],A5)</f>
        <v>1</v>
      </c>
      <c r="D5" s="12">
        <f>SUMIF(Table1[CustomerID],A5,Table1[TransactionAmount])</f>
        <v>704.99</v>
      </c>
      <c r="E5" t="str">
        <f t="shared" si="0"/>
        <v>514</v>
      </c>
      <c r="F5" t="str">
        <f t="shared" si="1"/>
        <v>Potential Loyalists</v>
      </c>
      <c r="H5" s="14" t="s">
        <v>20</v>
      </c>
      <c r="J5">
        <f t="shared" si="2"/>
        <v>5</v>
      </c>
      <c r="K5">
        <f t="shared" si="3"/>
        <v>1</v>
      </c>
      <c r="L5">
        <f t="shared" si="4"/>
        <v>4</v>
      </c>
    </row>
    <row r="6" spans="1:12" x14ac:dyDescent="0.35">
      <c r="A6">
        <v>1046</v>
      </c>
      <c r="B6" s="3">
        <f>H$6-_xlfn.MAXIFS(Table1[PurchaseDate],Table1[CustomerID],A6)</f>
        <v>43</v>
      </c>
      <c r="C6">
        <f>COUNTIF(Table1[CustomerID],A6)</f>
        <v>1</v>
      </c>
      <c r="D6" s="12">
        <f>SUMIF(Table1[CustomerID],A6,Table1[TransactionAmount])</f>
        <v>859.82</v>
      </c>
      <c r="E6" t="str">
        <f t="shared" si="0"/>
        <v>215</v>
      </c>
      <c r="F6" t="str">
        <f t="shared" si="1"/>
        <v>Needs Attention</v>
      </c>
      <c r="H6" s="15">
        <f>MAX(Table1[PurchaseDate])</f>
        <v>45087</v>
      </c>
      <c r="J6">
        <f t="shared" si="2"/>
        <v>2</v>
      </c>
      <c r="K6">
        <f t="shared" si="3"/>
        <v>1</v>
      </c>
      <c r="L6">
        <f t="shared" si="4"/>
        <v>5</v>
      </c>
    </row>
    <row r="7" spans="1:12" x14ac:dyDescent="0.35">
      <c r="A7">
        <v>1049</v>
      </c>
      <c r="B7" s="3">
        <f>H$6-_xlfn.MAXIFS(Table1[PurchaseDate],Table1[CustomerID],A7)</f>
        <v>13</v>
      </c>
      <c r="C7">
        <f>COUNTIF(Table1[CustomerID],A7)</f>
        <v>1</v>
      </c>
      <c r="D7" s="12">
        <f>SUMIF(Table1[CustomerID],A7,Table1[TransactionAmount])</f>
        <v>225.72</v>
      </c>
      <c r="E7" t="str">
        <f t="shared" si="0"/>
        <v>412</v>
      </c>
      <c r="F7" t="str">
        <f t="shared" si="1"/>
        <v>Needs Attention</v>
      </c>
      <c r="J7">
        <f t="shared" si="2"/>
        <v>4</v>
      </c>
      <c r="K7">
        <f t="shared" si="3"/>
        <v>1</v>
      </c>
      <c r="L7">
        <f t="shared" si="4"/>
        <v>2</v>
      </c>
    </row>
    <row r="8" spans="1:12" x14ac:dyDescent="0.35">
      <c r="A8">
        <v>1082</v>
      </c>
      <c r="B8" s="3">
        <f>H$6-_xlfn.MAXIFS(Table1[PurchaseDate],Table1[CustomerID],A8)</f>
        <v>24</v>
      </c>
      <c r="C8">
        <f>COUNTIF(Table1[CustomerID],A8)</f>
        <v>1</v>
      </c>
      <c r="D8" s="12">
        <f>SUMIF(Table1[CustomerID],A8,Table1[TransactionAmount])</f>
        <v>600.69000000000005</v>
      </c>
      <c r="E8" t="str">
        <f t="shared" si="0"/>
        <v>413</v>
      </c>
      <c r="F8" t="str">
        <f t="shared" si="1"/>
        <v>Potential Loyalists</v>
      </c>
      <c r="J8">
        <f t="shared" si="2"/>
        <v>4</v>
      </c>
      <c r="K8">
        <f t="shared" si="3"/>
        <v>1</v>
      </c>
      <c r="L8">
        <f t="shared" si="4"/>
        <v>3</v>
      </c>
    </row>
    <row r="9" spans="1:12" x14ac:dyDescent="0.35">
      <c r="A9">
        <v>1086</v>
      </c>
      <c r="B9" s="3">
        <f>H$6-_xlfn.MAXIFS(Table1[PurchaseDate],Table1[CustomerID],A9)</f>
        <v>9</v>
      </c>
      <c r="C9">
        <f>COUNTIF(Table1[CustomerID],A9)</f>
        <v>1</v>
      </c>
      <c r="D9" s="12">
        <f>SUMIF(Table1[CustomerID],A9,Table1[TransactionAmount])</f>
        <v>100.18</v>
      </c>
      <c r="E9" t="str">
        <f t="shared" si="0"/>
        <v>511</v>
      </c>
      <c r="F9" t="str">
        <f t="shared" si="1"/>
        <v>Needs Attention</v>
      </c>
      <c r="H9" s="14" t="s">
        <v>24</v>
      </c>
      <c r="J9">
        <f t="shared" si="2"/>
        <v>5</v>
      </c>
      <c r="K9">
        <f t="shared" si="3"/>
        <v>1</v>
      </c>
      <c r="L9">
        <f t="shared" si="4"/>
        <v>1</v>
      </c>
    </row>
    <row r="10" spans="1:12" x14ac:dyDescent="0.35">
      <c r="A10">
        <v>1104</v>
      </c>
      <c r="B10" s="3">
        <f>H$6-_xlfn.MAXIFS(Table1[PurchaseDate],Table1[CustomerID],A10)</f>
        <v>34</v>
      </c>
      <c r="C10">
        <f>COUNTIF(Table1[CustomerID],A10)</f>
        <v>1</v>
      </c>
      <c r="D10" s="12">
        <f>SUMIF(Table1[CustomerID],A10,Table1[TransactionAmount])</f>
        <v>146.12</v>
      </c>
      <c r="E10" t="str">
        <f t="shared" si="0"/>
        <v>311</v>
      </c>
      <c r="F10" t="str">
        <f t="shared" si="1"/>
        <v>Needs Attention</v>
      </c>
      <c r="H10" s="14" t="s">
        <v>25</v>
      </c>
      <c r="I10">
        <f>COUNTIF($F$3:$F$948,H10)</f>
        <v>21</v>
      </c>
      <c r="J10">
        <f t="shared" si="2"/>
        <v>3</v>
      </c>
      <c r="K10">
        <f t="shared" si="3"/>
        <v>1</v>
      </c>
      <c r="L10">
        <f t="shared" si="4"/>
        <v>1</v>
      </c>
    </row>
    <row r="11" spans="1:12" x14ac:dyDescent="0.35">
      <c r="A11">
        <v>1108</v>
      </c>
      <c r="B11" s="3">
        <f>H$6-_xlfn.MAXIFS(Table1[PurchaseDate],Table1[CustomerID],A11)</f>
        <v>28</v>
      </c>
      <c r="C11">
        <f>COUNTIF(Table1[CustomerID],A11)</f>
        <v>1</v>
      </c>
      <c r="D11" s="12">
        <f>SUMIF(Table1[CustomerID],A11,Table1[TransactionAmount])</f>
        <v>883.21</v>
      </c>
      <c r="E11" t="str">
        <f t="shared" si="0"/>
        <v>315</v>
      </c>
      <c r="F11" t="str">
        <f t="shared" si="1"/>
        <v>Potential Loyalists</v>
      </c>
      <c r="H11" s="14" t="s">
        <v>26</v>
      </c>
      <c r="I11">
        <f t="shared" ref="I11:I14" si="5">COUNTIF($F$3:$F$948,H11)</f>
        <v>16</v>
      </c>
      <c r="J11">
        <f t="shared" si="2"/>
        <v>3</v>
      </c>
      <c r="K11">
        <f t="shared" si="3"/>
        <v>1</v>
      </c>
      <c r="L11">
        <f t="shared" si="4"/>
        <v>5</v>
      </c>
    </row>
    <row r="12" spans="1:12" x14ac:dyDescent="0.35">
      <c r="A12">
        <v>1120</v>
      </c>
      <c r="B12" s="3">
        <f>H$6-_xlfn.MAXIFS(Table1[PurchaseDate],Table1[CustomerID],A12)</f>
        <v>28</v>
      </c>
      <c r="C12">
        <f>COUNTIF(Table1[CustomerID],A12)</f>
        <v>1</v>
      </c>
      <c r="D12" s="12">
        <f>SUMIF(Table1[CustomerID],A12,Table1[TransactionAmount])</f>
        <v>999.44</v>
      </c>
      <c r="E12" t="str">
        <f t="shared" si="0"/>
        <v>315</v>
      </c>
      <c r="F12" t="str">
        <f t="shared" si="1"/>
        <v>Potential Loyalists</v>
      </c>
      <c r="H12" s="14" t="s">
        <v>27</v>
      </c>
      <c r="I12">
        <f t="shared" si="5"/>
        <v>317</v>
      </c>
      <c r="J12">
        <f t="shared" si="2"/>
        <v>3</v>
      </c>
      <c r="K12">
        <f t="shared" si="3"/>
        <v>1</v>
      </c>
      <c r="L12">
        <f t="shared" si="4"/>
        <v>5</v>
      </c>
    </row>
    <row r="13" spans="1:12" x14ac:dyDescent="0.35">
      <c r="A13">
        <v>1136</v>
      </c>
      <c r="B13" s="3">
        <f>H$6-_xlfn.MAXIFS(Table1[PurchaseDate],Table1[CustomerID],A13)</f>
        <v>56</v>
      </c>
      <c r="C13">
        <f>COUNTIF(Table1[CustomerID],A13)</f>
        <v>1</v>
      </c>
      <c r="D13" s="12">
        <f>SUMIF(Table1[CustomerID],A13,Table1[TransactionAmount])</f>
        <v>394.76</v>
      </c>
      <c r="E13" t="str">
        <f t="shared" si="0"/>
        <v>112</v>
      </c>
      <c r="F13" t="str">
        <f t="shared" si="1"/>
        <v>At Risk</v>
      </c>
      <c r="H13" s="14" t="s">
        <v>28</v>
      </c>
      <c r="I13">
        <f t="shared" si="5"/>
        <v>147</v>
      </c>
      <c r="J13">
        <f t="shared" si="2"/>
        <v>1</v>
      </c>
      <c r="K13">
        <f t="shared" si="3"/>
        <v>1</v>
      </c>
      <c r="L13">
        <f t="shared" si="4"/>
        <v>2</v>
      </c>
    </row>
    <row r="14" spans="1:12" x14ac:dyDescent="0.35">
      <c r="A14">
        <v>1146</v>
      </c>
      <c r="B14" s="3">
        <f>H$6-_xlfn.MAXIFS(Table1[PurchaseDate],Table1[CustomerID],A14)</f>
        <v>58</v>
      </c>
      <c r="C14">
        <f>COUNTIF(Table1[CustomerID],A14)</f>
        <v>1</v>
      </c>
      <c r="D14" s="12">
        <f>SUMIF(Table1[CustomerID],A14,Table1[TransactionAmount])</f>
        <v>585.27</v>
      </c>
      <c r="E14" t="str">
        <f t="shared" si="0"/>
        <v>113</v>
      </c>
      <c r="F14" t="str">
        <f t="shared" si="1"/>
        <v>Needs Attention</v>
      </c>
      <c r="H14" s="14" t="s">
        <v>29</v>
      </c>
      <c r="I14">
        <f t="shared" si="5"/>
        <v>445</v>
      </c>
      <c r="J14">
        <f t="shared" si="2"/>
        <v>1</v>
      </c>
      <c r="K14">
        <f t="shared" si="3"/>
        <v>1</v>
      </c>
      <c r="L14">
        <f t="shared" si="4"/>
        <v>3</v>
      </c>
    </row>
    <row r="15" spans="1:12" x14ac:dyDescent="0.35">
      <c r="A15">
        <v>1149</v>
      </c>
      <c r="B15" s="3">
        <f>H$6-_xlfn.MAXIFS(Table1[PurchaseDate],Table1[CustomerID],A15)</f>
        <v>47</v>
      </c>
      <c r="C15">
        <f>COUNTIF(Table1[CustomerID],A15)</f>
        <v>1</v>
      </c>
      <c r="D15" s="12">
        <f>SUMIF(Table1[CustomerID],A15,Table1[TransactionAmount])</f>
        <v>510.68</v>
      </c>
      <c r="E15" t="str">
        <f t="shared" si="0"/>
        <v>213</v>
      </c>
      <c r="F15" t="str">
        <f t="shared" si="1"/>
        <v>Needs Attention</v>
      </c>
      <c r="J15">
        <f t="shared" si="2"/>
        <v>2</v>
      </c>
      <c r="K15">
        <f t="shared" si="3"/>
        <v>1</v>
      </c>
      <c r="L15">
        <f t="shared" si="4"/>
        <v>3</v>
      </c>
    </row>
    <row r="16" spans="1:12" x14ac:dyDescent="0.35">
      <c r="A16">
        <v>1166</v>
      </c>
      <c r="B16" s="3">
        <f>H$6-_xlfn.MAXIFS(Table1[PurchaseDate],Table1[CustomerID],A16)</f>
        <v>27</v>
      </c>
      <c r="C16">
        <f>COUNTIF(Table1[CustomerID],A16)</f>
        <v>1</v>
      </c>
      <c r="D16" s="12">
        <f>SUMIF(Table1[CustomerID],A16,Table1[TransactionAmount])</f>
        <v>948.58</v>
      </c>
      <c r="E16" t="str">
        <f t="shared" si="0"/>
        <v>315</v>
      </c>
      <c r="F16" t="str">
        <f t="shared" si="1"/>
        <v>Potential Loyalists</v>
      </c>
      <c r="J16">
        <f t="shared" si="2"/>
        <v>3</v>
      </c>
      <c r="K16">
        <f t="shared" si="3"/>
        <v>1</v>
      </c>
      <c r="L16">
        <f t="shared" si="4"/>
        <v>5</v>
      </c>
    </row>
    <row r="17" spans="1:12" x14ac:dyDescent="0.35">
      <c r="A17">
        <v>1182</v>
      </c>
      <c r="B17" s="3">
        <f>H$6-_xlfn.MAXIFS(Table1[PurchaseDate],Table1[CustomerID],A17)</f>
        <v>25</v>
      </c>
      <c r="C17">
        <f>COUNTIF(Table1[CustomerID],A17)</f>
        <v>1</v>
      </c>
      <c r="D17" s="12">
        <f>SUMIF(Table1[CustomerID],A17,Table1[TransactionAmount])</f>
        <v>876.02</v>
      </c>
      <c r="E17" t="str">
        <f t="shared" si="0"/>
        <v>315</v>
      </c>
      <c r="F17" t="str">
        <f t="shared" si="1"/>
        <v>Potential Loyalists</v>
      </c>
      <c r="H17" s="14" t="s">
        <v>30</v>
      </c>
      <c r="J17">
        <f t="shared" si="2"/>
        <v>3</v>
      </c>
      <c r="K17">
        <f t="shared" si="3"/>
        <v>1</v>
      </c>
      <c r="L17">
        <f t="shared" si="4"/>
        <v>5</v>
      </c>
    </row>
    <row r="18" spans="1:12" x14ac:dyDescent="0.35">
      <c r="A18">
        <v>1185</v>
      </c>
      <c r="B18" s="3">
        <f>H$6-_xlfn.MAXIFS(Table1[PurchaseDate],Table1[CustomerID],A18)</f>
        <v>20</v>
      </c>
      <c r="C18">
        <f>COUNTIF(Table1[CustomerID],A18)</f>
        <v>1</v>
      </c>
      <c r="D18" s="12">
        <f>SUMIF(Table1[CustomerID],A18,Table1[TransactionAmount])</f>
        <v>209.18</v>
      </c>
      <c r="E18" t="str">
        <f t="shared" si="0"/>
        <v>411</v>
      </c>
      <c r="F18" t="str">
        <f t="shared" si="1"/>
        <v>Needs Attention</v>
      </c>
      <c r="H18" s="14" t="s">
        <v>25</v>
      </c>
      <c r="I18">
        <f>AVERAGEIF($F$3:$F$948,H18,$D$3:$D$948)</f>
        <v>1249.9433333333334</v>
      </c>
      <c r="J18">
        <f t="shared" si="2"/>
        <v>4</v>
      </c>
      <c r="K18">
        <f t="shared" si="3"/>
        <v>1</v>
      </c>
      <c r="L18">
        <f t="shared" si="4"/>
        <v>1</v>
      </c>
    </row>
    <row r="19" spans="1:12" x14ac:dyDescent="0.35">
      <c r="A19">
        <v>1190</v>
      </c>
      <c r="B19" s="3">
        <f>H$6-_xlfn.MAXIFS(Table1[PurchaseDate],Table1[CustomerID],A19)</f>
        <v>19</v>
      </c>
      <c r="C19">
        <f>COUNTIF(Table1[CustomerID],A19)</f>
        <v>1</v>
      </c>
      <c r="D19" s="12">
        <f>SUMIF(Table1[CustomerID],A19,Table1[TransactionAmount])</f>
        <v>935.03</v>
      </c>
      <c r="E19" t="str">
        <f t="shared" si="0"/>
        <v>415</v>
      </c>
      <c r="F19" t="str">
        <f t="shared" si="1"/>
        <v>Potential Loyalists</v>
      </c>
      <c r="H19" s="14" t="s">
        <v>26</v>
      </c>
      <c r="I19">
        <f t="shared" ref="I19:I22" si="6">AVERAGEIF($F$3:$F$948,H19,$D$3:$D$948)</f>
        <v>1025.0762500000001</v>
      </c>
      <c r="J19">
        <f t="shared" si="2"/>
        <v>4</v>
      </c>
      <c r="K19">
        <f t="shared" si="3"/>
        <v>1</v>
      </c>
      <c r="L19">
        <f t="shared" si="4"/>
        <v>5</v>
      </c>
    </row>
    <row r="20" spans="1:12" x14ac:dyDescent="0.35">
      <c r="A20">
        <v>1193</v>
      </c>
      <c r="B20" s="3">
        <f>H$6-_xlfn.MAXIFS(Table1[PurchaseDate],Table1[CustomerID],A20)</f>
        <v>17</v>
      </c>
      <c r="C20">
        <f>COUNTIF(Table1[CustomerID],A20)</f>
        <v>1</v>
      </c>
      <c r="D20" s="12">
        <f>SUMIF(Table1[CustomerID],A20,Table1[TransactionAmount])</f>
        <v>218.64</v>
      </c>
      <c r="E20" t="str">
        <f t="shared" si="0"/>
        <v>412</v>
      </c>
      <c r="F20" t="str">
        <f t="shared" si="1"/>
        <v>Needs Attention</v>
      </c>
      <c r="H20" s="14" t="s">
        <v>31</v>
      </c>
      <c r="I20">
        <f t="shared" si="6"/>
        <v>729.72936908517363</v>
      </c>
      <c r="J20">
        <f t="shared" si="2"/>
        <v>4</v>
      </c>
      <c r="K20">
        <f t="shared" si="3"/>
        <v>1</v>
      </c>
      <c r="L20">
        <f t="shared" si="4"/>
        <v>2</v>
      </c>
    </row>
    <row r="21" spans="1:12" x14ac:dyDescent="0.35">
      <c r="A21">
        <v>1200</v>
      </c>
      <c r="B21" s="3">
        <f>H$6-_xlfn.MAXIFS(Table1[PurchaseDate],Table1[CustomerID],A21)</f>
        <v>31</v>
      </c>
      <c r="C21">
        <f>COUNTIF(Table1[CustomerID],A21)</f>
        <v>1</v>
      </c>
      <c r="D21" s="12">
        <f>SUMIF(Table1[CustomerID],A21,Table1[TransactionAmount])</f>
        <v>502.65</v>
      </c>
      <c r="E21" t="str">
        <f t="shared" si="0"/>
        <v>313</v>
      </c>
      <c r="F21" t="str">
        <f t="shared" si="1"/>
        <v>Potential Loyalists</v>
      </c>
      <c r="H21" s="14" t="s">
        <v>28</v>
      </c>
      <c r="I21">
        <f t="shared" si="6"/>
        <v>225.28149659863948</v>
      </c>
      <c r="J21">
        <f t="shared" si="2"/>
        <v>3</v>
      </c>
      <c r="K21">
        <f t="shared" si="3"/>
        <v>1</v>
      </c>
      <c r="L21">
        <f t="shared" si="4"/>
        <v>3</v>
      </c>
    </row>
    <row r="22" spans="1:12" x14ac:dyDescent="0.35">
      <c r="A22">
        <v>1207</v>
      </c>
      <c r="B22" s="3">
        <f>H$6-_xlfn.MAXIFS(Table1[PurchaseDate],Table1[CustomerID],A22)</f>
        <v>6</v>
      </c>
      <c r="C22">
        <f>COUNTIF(Table1[CustomerID],A22)</f>
        <v>1</v>
      </c>
      <c r="D22" s="12">
        <f>SUMIF(Table1[CustomerID],A22,Table1[TransactionAmount])</f>
        <v>425.86</v>
      </c>
      <c r="E22" t="str">
        <f t="shared" si="0"/>
        <v>512</v>
      </c>
      <c r="F22" t="str">
        <f t="shared" si="1"/>
        <v>Needs Attention</v>
      </c>
      <c r="H22" s="14" t="s">
        <v>29</v>
      </c>
      <c r="I22">
        <f t="shared" si="6"/>
        <v>464.24087640449414</v>
      </c>
      <c r="J22">
        <f t="shared" si="2"/>
        <v>5</v>
      </c>
      <c r="K22">
        <f t="shared" si="3"/>
        <v>1</v>
      </c>
      <c r="L22">
        <f t="shared" si="4"/>
        <v>2</v>
      </c>
    </row>
    <row r="23" spans="1:12" x14ac:dyDescent="0.35">
      <c r="A23">
        <v>1212</v>
      </c>
      <c r="B23" s="3">
        <f>H$6-_xlfn.MAXIFS(Table1[PurchaseDate],Table1[CustomerID],A23)</f>
        <v>13</v>
      </c>
      <c r="C23">
        <f>COUNTIF(Table1[CustomerID],A23)</f>
        <v>1</v>
      </c>
      <c r="D23" s="12">
        <f>SUMIF(Table1[CustomerID],A23,Table1[TransactionAmount])</f>
        <v>258.83</v>
      </c>
      <c r="E23" t="str">
        <f t="shared" si="0"/>
        <v>412</v>
      </c>
      <c r="F23" t="str">
        <f t="shared" si="1"/>
        <v>Needs Attention</v>
      </c>
      <c r="J23">
        <f t="shared" si="2"/>
        <v>4</v>
      </c>
      <c r="K23">
        <f t="shared" si="3"/>
        <v>1</v>
      </c>
      <c r="L23">
        <f t="shared" si="4"/>
        <v>2</v>
      </c>
    </row>
    <row r="24" spans="1:12" x14ac:dyDescent="0.35">
      <c r="A24">
        <v>1225</v>
      </c>
      <c r="B24" s="3">
        <f>H$6-_xlfn.MAXIFS(Table1[PurchaseDate],Table1[CustomerID],A24)</f>
        <v>39</v>
      </c>
      <c r="C24">
        <f>COUNTIF(Table1[CustomerID],A24)</f>
        <v>1</v>
      </c>
      <c r="D24" s="12">
        <f>SUMIF(Table1[CustomerID],A24,Table1[TransactionAmount])</f>
        <v>696.86</v>
      </c>
      <c r="E24" t="str">
        <f t="shared" si="0"/>
        <v>214</v>
      </c>
      <c r="F24" t="str">
        <f t="shared" si="1"/>
        <v>Needs Attention</v>
      </c>
      <c r="J24">
        <f t="shared" si="2"/>
        <v>2</v>
      </c>
      <c r="K24">
        <f t="shared" si="3"/>
        <v>1</v>
      </c>
      <c r="L24">
        <f t="shared" si="4"/>
        <v>4</v>
      </c>
    </row>
    <row r="25" spans="1:12" x14ac:dyDescent="0.35">
      <c r="A25">
        <v>1228</v>
      </c>
      <c r="B25" s="3">
        <f>H$6-_xlfn.MAXIFS(Table1[PurchaseDate],Table1[CustomerID],A25)</f>
        <v>44</v>
      </c>
      <c r="C25">
        <f>COUNTIF(Table1[CustomerID],A25)</f>
        <v>1</v>
      </c>
      <c r="D25" s="12">
        <f>SUMIF(Table1[CustomerID],A25,Table1[TransactionAmount])</f>
        <v>541.21</v>
      </c>
      <c r="E25" t="str">
        <f t="shared" si="0"/>
        <v>213</v>
      </c>
      <c r="F25" t="str">
        <f t="shared" si="1"/>
        <v>Needs Attention</v>
      </c>
      <c r="H25" s="16" t="s">
        <v>32</v>
      </c>
      <c r="I25" s="5"/>
      <c r="J25">
        <f t="shared" si="2"/>
        <v>2</v>
      </c>
      <c r="K25">
        <f t="shared" si="3"/>
        <v>1</v>
      </c>
      <c r="L25">
        <f t="shared" si="4"/>
        <v>3</v>
      </c>
    </row>
    <row r="26" spans="1:12" x14ac:dyDescent="0.35">
      <c r="A26">
        <v>1230</v>
      </c>
      <c r="B26" s="3">
        <f>H$6-_xlfn.MAXIFS(Table1[PurchaseDate],Table1[CustomerID],A26)</f>
        <v>3</v>
      </c>
      <c r="C26">
        <f>COUNTIF(Table1[CustomerID],A26)</f>
        <v>1</v>
      </c>
      <c r="D26" s="12">
        <f>SUMIF(Table1[CustomerID],A26,Table1[TransactionAmount])</f>
        <v>328.99</v>
      </c>
      <c r="E26" t="str">
        <f t="shared" si="0"/>
        <v>512</v>
      </c>
      <c r="F26" t="str">
        <f t="shared" si="1"/>
        <v>Needs Attention</v>
      </c>
      <c r="H26" s="17" t="s">
        <v>33</v>
      </c>
      <c r="I26" s="4">
        <f>COUNTA(A3:A948)</f>
        <v>946</v>
      </c>
      <c r="J26">
        <f t="shared" si="2"/>
        <v>5</v>
      </c>
      <c r="K26">
        <f t="shared" si="3"/>
        <v>1</v>
      </c>
      <c r="L26">
        <f t="shared" si="4"/>
        <v>2</v>
      </c>
    </row>
    <row r="27" spans="1:12" x14ac:dyDescent="0.35">
      <c r="A27">
        <v>1256</v>
      </c>
      <c r="B27" s="3">
        <f>H$6-_xlfn.MAXIFS(Table1[PurchaseDate],Table1[CustomerID],A27)</f>
        <v>47</v>
      </c>
      <c r="C27">
        <f>COUNTIF(Table1[CustomerID],A27)</f>
        <v>1</v>
      </c>
      <c r="D27" s="12">
        <f>SUMIF(Table1[CustomerID],A27,Table1[TransactionAmount])</f>
        <v>591.16999999999996</v>
      </c>
      <c r="E27" t="str">
        <f t="shared" si="0"/>
        <v>213</v>
      </c>
      <c r="F27" t="str">
        <f t="shared" si="1"/>
        <v>Needs Attention</v>
      </c>
      <c r="H27" s="17" t="s">
        <v>34</v>
      </c>
      <c r="I27" s="4">
        <f>AVERAGE(B3:B948)</f>
        <v>29.983086680761101</v>
      </c>
      <c r="J27">
        <f t="shared" si="2"/>
        <v>2</v>
      </c>
      <c r="K27">
        <f t="shared" si="3"/>
        <v>1</v>
      </c>
      <c r="L27">
        <f t="shared" si="4"/>
        <v>3</v>
      </c>
    </row>
    <row r="28" spans="1:12" x14ac:dyDescent="0.35">
      <c r="A28">
        <v>1265</v>
      </c>
      <c r="B28" s="3">
        <f>H$6-_xlfn.MAXIFS(Table1[PurchaseDate],Table1[CustomerID],A28)</f>
        <v>44</v>
      </c>
      <c r="C28">
        <f>COUNTIF(Table1[CustomerID],A28)</f>
        <v>1</v>
      </c>
      <c r="D28" s="12">
        <f>SUMIF(Table1[CustomerID],A28,Table1[TransactionAmount])</f>
        <v>557.78</v>
      </c>
      <c r="E28" t="str">
        <f t="shared" si="0"/>
        <v>213</v>
      </c>
      <c r="F28" t="str">
        <f t="shared" si="1"/>
        <v>Needs Attention</v>
      </c>
      <c r="H28" s="17" t="s">
        <v>35</v>
      </c>
      <c r="I28" s="4">
        <f>AVERAGE(C3:C948)</f>
        <v>1.0570824524312896</v>
      </c>
      <c r="J28">
        <f t="shared" si="2"/>
        <v>2</v>
      </c>
      <c r="K28">
        <f t="shared" si="3"/>
        <v>1</v>
      </c>
      <c r="L28">
        <f t="shared" si="4"/>
        <v>3</v>
      </c>
    </row>
    <row r="29" spans="1:12" x14ac:dyDescent="0.35">
      <c r="A29">
        <v>1273</v>
      </c>
      <c r="B29" s="3">
        <f>H$6-_xlfn.MAXIFS(Table1[PurchaseDate],Table1[CustomerID],A29)</f>
        <v>23</v>
      </c>
      <c r="C29">
        <f>COUNTIF(Table1[CustomerID],A29)</f>
        <v>1</v>
      </c>
      <c r="D29" s="12">
        <f>SUMIF(Table1[CustomerID],A29,Table1[TransactionAmount])</f>
        <v>76.86</v>
      </c>
      <c r="E29" t="str">
        <f t="shared" si="0"/>
        <v>411</v>
      </c>
      <c r="F29" t="str">
        <f t="shared" si="1"/>
        <v>Needs Attention</v>
      </c>
      <c r="H29" s="17" t="s">
        <v>36</v>
      </c>
      <c r="I29" s="4">
        <f>AVERAGE(D3:D948)</f>
        <v>542.99979915433426</v>
      </c>
      <c r="J29">
        <f t="shared" si="2"/>
        <v>4</v>
      </c>
      <c r="K29">
        <f t="shared" si="3"/>
        <v>1</v>
      </c>
      <c r="L29">
        <f t="shared" si="4"/>
        <v>1</v>
      </c>
    </row>
    <row r="30" spans="1:12" x14ac:dyDescent="0.35">
      <c r="A30">
        <v>1305</v>
      </c>
      <c r="B30" s="3">
        <f>H$6-_xlfn.MAXIFS(Table1[PurchaseDate],Table1[CustomerID],A30)</f>
        <v>4</v>
      </c>
      <c r="C30">
        <f>COUNTIF(Table1[CustomerID],A30)</f>
        <v>2</v>
      </c>
      <c r="D30" s="12">
        <f>SUMIF(Table1[CustomerID],A30,Table1[TransactionAmount])</f>
        <v>1234.46</v>
      </c>
      <c r="E30" t="str">
        <f t="shared" si="0"/>
        <v>535</v>
      </c>
      <c r="F30" t="str">
        <f t="shared" si="1"/>
        <v>Champions</v>
      </c>
      <c r="J30">
        <f t="shared" si="2"/>
        <v>5</v>
      </c>
      <c r="K30">
        <f t="shared" si="3"/>
        <v>3</v>
      </c>
      <c r="L30">
        <f t="shared" si="4"/>
        <v>5</v>
      </c>
    </row>
    <row r="31" spans="1:12" x14ac:dyDescent="0.35">
      <c r="A31">
        <v>1317</v>
      </c>
      <c r="B31" s="3">
        <f>H$6-_xlfn.MAXIFS(Table1[PurchaseDate],Table1[CustomerID],A31)</f>
        <v>51</v>
      </c>
      <c r="C31">
        <f>COUNTIF(Table1[CustomerID],A31)</f>
        <v>1</v>
      </c>
      <c r="D31" s="12">
        <f>SUMIF(Table1[CustomerID],A31,Table1[TransactionAmount])</f>
        <v>59.14</v>
      </c>
      <c r="E31" t="str">
        <f t="shared" si="0"/>
        <v>111</v>
      </c>
      <c r="F31" t="str">
        <f t="shared" si="1"/>
        <v>At Risk</v>
      </c>
      <c r="J31">
        <f t="shared" si="2"/>
        <v>1</v>
      </c>
      <c r="K31">
        <f t="shared" si="3"/>
        <v>1</v>
      </c>
      <c r="L31">
        <f t="shared" si="4"/>
        <v>1</v>
      </c>
    </row>
    <row r="32" spans="1:12" x14ac:dyDescent="0.35">
      <c r="A32">
        <v>1323</v>
      </c>
      <c r="B32" s="3">
        <f>H$6-_xlfn.MAXIFS(Table1[PurchaseDate],Table1[CustomerID],A32)</f>
        <v>57</v>
      </c>
      <c r="C32">
        <f>COUNTIF(Table1[CustomerID],A32)</f>
        <v>1</v>
      </c>
      <c r="D32" s="12">
        <f>SUMIF(Table1[CustomerID],A32,Table1[TransactionAmount])</f>
        <v>692.85</v>
      </c>
      <c r="E32" t="str">
        <f t="shared" si="0"/>
        <v>114</v>
      </c>
      <c r="F32" t="str">
        <f t="shared" si="1"/>
        <v>Needs Attention</v>
      </c>
      <c r="H32" s="14" t="s">
        <v>37</v>
      </c>
      <c r="J32">
        <f t="shared" si="2"/>
        <v>1</v>
      </c>
      <c r="K32">
        <f t="shared" si="3"/>
        <v>1</v>
      </c>
      <c r="L32">
        <f t="shared" si="4"/>
        <v>4</v>
      </c>
    </row>
    <row r="33" spans="1:12" x14ac:dyDescent="0.35">
      <c r="A33">
        <v>1331</v>
      </c>
      <c r="B33" s="3">
        <f>H$6-_xlfn.MAXIFS(Table1[PurchaseDate],Table1[CustomerID],A33)</f>
        <v>39</v>
      </c>
      <c r="C33">
        <f>COUNTIF(Table1[CustomerID],A33)</f>
        <v>1</v>
      </c>
      <c r="D33" s="12">
        <f>SUMIF(Table1[CustomerID],A33,Table1[TransactionAmount])</f>
        <v>819.21</v>
      </c>
      <c r="E33" t="str">
        <f t="shared" si="0"/>
        <v>214</v>
      </c>
      <c r="F33" t="str">
        <f t="shared" si="1"/>
        <v>Needs Attention</v>
      </c>
      <c r="H33" s="14" t="s">
        <v>0</v>
      </c>
      <c r="I33" t="s">
        <v>16</v>
      </c>
      <c r="J33">
        <f t="shared" si="2"/>
        <v>2</v>
      </c>
      <c r="K33">
        <f t="shared" si="3"/>
        <v>1</v>
      </c>
      <c r="L33">
        <f t="shared" si="4"/>
        <v>4</v>
      </c>
    </row>
    <row r="34" spans="1:12" x14ac:dyDescent="0.35">
      <c r="A34">
        <v>1341</v>
      </c>
      <c r="B34" s="3">
        <f>H$6-_xlfn.MAXIFS(Table1[PurchaseDate],Table1[CustomerID],A34)</f>
        <v>40</v>
      </c>
      <c r="C34">
        <f>COUNTIF(Table1[CustomerID],A34)</f>
        <v>1</v>
      </c>
      <c r="D34" s="12">
        <f>SUMIF(Table1[CustomerID],A34,Table1[TransactionAmount])</f>
        <v>180.15</v>
      </c>
      <c r="E34" t="str">
        <f t="shared" si="0"/>
        <v>211</v>
      </c>
      <c r="F34" t="str">
        <f t="shared" si="1"/>
        <v>At Risk</v>
      </c>
      <c r="H34" s="14" cm="1">
        <f t="array" ref="H34">INDEX(_xlfn._xlws.SORT(CHOOSE({1,2},$A$3:$A$948,$D$3:$D$948),2,-1),ROWS($H$34:H34),1)</f>
        <v>5557</v>
      </c>
      <c r="I34" cm="1">
        <f t="array" ref="I34">INDEX(_xlfn._xlws.SORT(CHOOSE({1,2},$A$3:$A$948,$D$3:$D$948),2,-1),ROWS($I$34:I34),2)</f>
        <v>2379.4500000000003</v>
      </c>
      <c r="J34">
        <f t="shared" si="2"/>
        <v>2</v>
      </c>
      <c r="K34">
        <f t="shared" si="3"/>
        <v>1</v>
      </c>
      <c r="L34">
        <f t="shared" si="4"/>
        <v>1</v>
      </c>
    </row>
    <row r="35" spans="1:12" x14ac:dyDescent="0.35">
      <c r="A35">
        <v>1372</v>
      </c>
      <c r="B35" s="3">
        <f>H$6-_xlfn.MAXIFS(Table1[PurchaseDate],Table1[CustomerID],A35)</f>
        <v>41</v>
      </c>
      <c r="C35">
        <f>COUNTIF(Table1[CustomerID],A35)</f>
        <v>1</v>
      </c>
      <c r="D35" s="12">
        <f>SUMIF(Table1[CustomerID],A35,Table1[TransactionAmount])</f>
        <v>468.37</v>
      </c>
      <c r="E35" t="str">
        <f t="shared" si="0"/>
        <v>213</v>
      </c>
      <c r="F35" t="str">
        <f t="shared" si="1"/>
        <v>Needs Attention</v>
      </c>
      <c r="H35" s="14" cm="1">
        <f t="array" ref="H35">INDEX(_xlfn._xlws.SORT(CHOOSE({1,2},$A$3:$A$948,$D$3:$D$948),2,-1),ROWS($H$34:H35),1)</f>
        <v>4804</v>
      </c>
      <c r="I35" cm="1">
        <f t="array" ref="I35">INDEX(_xlfn._xlws.SORT(CHOOSE({1,2},$A$3:$A$948,$D$3:$D$948),2,-1),ROWS($I$34:I35),2)</f>
        <v>2073.33</v>
      </c>
      <c r="J35">
        <f t="shared" si="2"/>
        <v>2</v>
      </c>
      <c r="K35">
        <f t="shared" si="3"/>
        <v>1</v>
      </c>
      <c r="L35">
        <f t="shared" si="4"/>
        <v>3</v>
      </c>
    </row>
    <row r="36" spans="1:12" x14ac:dyDescent="0.35">
      <c r="A36">
        <v>1391</v>
      </c>
      <c r="B36" s="3">
        <f>H$6-_xlfn.MAXIFS(Table1[PurchaseDate],Table1[CustomerID],A36)</f>
        <v>46</v>
      </c>
      <c r="C36">
        <f>COUNTIF(Table1[CustomerID],A36)</f>
        <v>1</v>
      </c>
      <c r="D36" s="12">
        <f>SUMIF(Table1[CustomerID],A36,Table1[TransactionAmount])</f>
        <v>546.13</v>
      </c>
      <c r="E36" t="str">
        <f t="shared" si="0"/>
        <v>213</v>
      </c>
      <c r="F36" t="str">
        <f t="shared" si="1"/>
        <v>Needs Attention</v>
      </c>
      <c r="H36" s="14" cm="1">
        <f t="array" ref="H36">INDEX(_xlfn._xlws.SORT(CHOOSE({1,2},$A$3:$A$948,$D$3:$D$948),2,-1),ROWS($H$34:H36),1)</f>
        <v>9871</v>
      </c>
      <c r="I36" cm="1">
        <f t="array" ref="I36">INDEX(_xlfn._xlws.SORT(CHOOSE({1,2},$A$3:$A$948,$D$3:$D$948),2,-1),ROWS($I$34:I36),2)</f>
        <v>1820.53</v>
      </c>
      <c r="J36">
        <f t="shared" si="2"/>
        <v>2</v>
      </c>
      <c r="K36">
        <f t="shared" si="3"/>
        <v>1</v>
      </c>
      <c r="L36">
        <f t="shared" si="4"/>
        <v>3</v>
      </c>
    </row>
    <row r="37" spans="1:12" x14ac:dyDescent="0.35">
      <c r="A37">
        <v>1392</v>
      </c>
      <c r="B37" s="3">
        <f>H$6-_xlfn.MAXIFS(Table1[PurchaseDate],Table1[CustomerID],A37)</f>
        <v>31</v>
      </c>
      <c r="C37">
        <f>COUNTIF(Table1[CustomerID],A37)</f>
        <v>1</v>
      </c>
      <c r="D37" s="12">
        <f>SUMIF(Table1[CustomerID],A37,Table1[TransactionAmount])</f>
        <v>629.21</v>
      </c>
      <c r="E37" t="str">
        <f t="shared" si="0"/>
        <v>313</v>
      </c>
      <c r="F37" t="str">
        <f t="shared" si="1"/>
        <v>Potential Loyalists</v>
      </c>
      <c r="H37" s="14" cm="1">
        <f t="array" ref="H37">INDEX(_xlfn._xlws.SORT(CHOOSE({1,2},$A$3:$A$948,$D$3:$D$948),2,-1),ROWS($H$34:H37),1)</f>
        <v>3695</v>
      </c>
      <c r="I37" cm="1">
        <f t="array" ref="I37">INDEX(_xlfn._xlws.SORT(CHOOSE({1,2},$A$3:$A$948,$D$3:$D$948),2,-1),ROWS($I$34:I37),2)</f>
        <v>1770.85</v>
      </c>
      <c r="J37">
        <f t="shared" si="2"/>
        <v>3</v>
      </c>
      <c r="K37">
        <f t="shared" si="3"/>
        <v>1</v>
      </c>
      <c r="L37">
        <f t="shared" si="4"/>
        <v>3</v>
      </c>
    </row>
    <row r="38" spans="1:12" x14ac:dyDescent="0.35">
      <c r="A38">
        <v>1430</v>
      </c>
      <c r="B38" s="3">
        <f>H$6-_xlfn.MAXIFS(Table1[PurchaseDate],Table1[CustomerID],A38)</f>
        <v>22</v>
      </c>
      <c r="C38">
        <f>COUNTIF(Table1[CustomerID],A38)</f>
        <v>1</v>
      </c>
      <c r="D38" s="12">
        <f>SUMIF(Table1[CustomerID],A38,Table1[TransactionAmount])</f>
        <v>929.79</v>
      </c>
      <c r="E38" t="str">
        <f t="shared" si="0"/>
        <v>415</v>
      </c>
      <c r="F38" t="str">
        <f t="shared" si="1"/>
        <v>Potential Loyalists</v>
      </c>
      <c r="H38" s="14" cm="1">
        <f t="array" ref="H38">INDEX(_xlfn._xlws.SORT(CHOOSE({1,2},$A$3:$A$948,$D$3:$D$948),2,-1),ROWS($H$34:H38),1)</f>
        <v>3938</v>
      </c>
      <c r="I38" cm="1">
        <f t="array" ref="I38">INDEX(_xlfn._xlws.SORT(CHOOSE({1,2},$A$3:$A$948,$D$3:$D$948),2,-1),ROWS($I$34:I38),2)</f>
        <v>1731.53</v>
      </c>
      <c r="J38">
        <f t="shared" si="2"/>
        <v>4</v>
      </c>
      <c r="K38">
        <f t="shared" si="3"/>
        <v>1</v>
      </c>
      <c r="L38">
        <f t="shared" si="4"/>
        <v>5</v>
      </c>
    </row>
    <row r="39" spans="1:12" x14ac:dyDescent="0.35">
      <c r="A39">
        <v>1439</v>
      </c>
      <c r="B39" s="3">
        <f>H$6-_xlfn.MAXIFS(Table1[PurchaseDate],Table1[CustomerID],A39)</f>
        <v>6</v>
      </c>
      <c r="C39">
        <f>COUNTIF(Table1[CustomerID],A39)</f>
        <v>1</v>
      </c>
      <c r="D39" s="12">
        <f>SUMIF(Table1[CustomerID],A39,Table1[TransactionAmount])</f>
        <v>848.6</v>
      </c>
      <c r="E39" t="str">
        <f t="shared" si="0"/>
        <v>515</v>
      </c>
      <c r="F39" t="str">
        <f t="shared" si="1"/>
        <v>Potential Loyalists</v>
      </c>
      <c r="H39" s="14" cm="1">
        <f t="array" ref="H39">INDEX(_xlfn._xlws.SORT(CHOOSE({1,2},$A$3:$A$948,$D$3:$D$948),2,-1),ROWS($H$34:H39),1)</f>
        <v>9328</v>
      </c>
      <c r="I39" cm="1">
        <f t="array" ref="I39">INDEX(_xlfn._xlws.SORT(CHOOSE({1,2},$A$3:$A$948,$D$3:$D$948),2,-1),ROWS($I$34:I39),2)</f>
        <v>1710.17</v>
      </c>
      <c r="J39">
        <f t="shared" si="2"/>
        <v>5</v>
      </c>
      <c r="K39">
        <f t="shared" si="3"/>
        <v>1</v>
      </c>
      <c r="L39">
        <f t="shared" si="4"/>
        <v>5</v>
      </c>
    </row>
    <row r="40" spans="1:12" x14ac:dyDescent="0.35">
      <c r="A40">
        <v>1440</v>
      </c>
      <c r="B40" s="3">
        <f>H$6-_xlfn.MAXIFS(Table1[PurchaseDate],Table1[CustomerID],A40)</f>
        <v>0</v>
      </c>
      <c r="C40">
        <f>COUNTIF(Table1[CustomerID],A40)</f>
        <v>1</v>
      </c>
      <c r="D40" s="12">
        <f>SUMIF(Table1[CustomerID],A40,Table1[TransactionAmount])</f>
        <v>729.94</v>
      </c>
      <c r="E40" t="str">
        <f t="shared" si="0"/>
        <v>514</v>
      </c>
      <c r="F40" t="str">
        <f t="shared" si="1"/>
        <v>Potential Loyalists</v>
      </c>
      <c r="H40" s="14" cm="1">
        <f t="array" ref="H40">INDEX(_xlfn._xlws.SORT(CHOOSE({1,2},$A$3:$A$948,$D$3:$D$948),2,-1),ROWS($H$34:H40),1)</f>
        <v>7046</v>
      </c>
      <c r="I40" cm="1">
        <f t="array" ref="I40">INDEX(_xlfn._xlws.SORT(CHOOSE({1,2},$A$3:$A$948,$D$3:$D$948),2,-1),ROWS($I$34:I40),2)</f>
        <v>1662.1</v>
      </c>
      <c r="J40">
        <f t="shared" si="2"/>
        <v>5</v>
      </c>
      <c r="K40">
        <f t="shared" si="3"/>
        <v>1</v>
      </c>
      <c r="L40">
        <f t="shared" si="4"/>
        <v>4</v>
      </c>
    </row>
    <row r="41" spans="1:12" x14ac:dyDescent="0.35">
      <c r="A41">
        <v>1464</v>
      </c>
      <c r="B41" s="3">
        <f>H$6-_xlfn.MAXIFS(Table1[PurchaseDate],Table1[CustomerID],A41)</f>
        <v>55</v>
      </c>
      <c r="C41">
        <f>COUNTIF(Table1[CustomerID],A41)</f>
        <v>1</v>
      </c>
      <c r="D41" s="12">
        <f>SUMIF(Table1[CustomerID],A41,Table1[TransactionAmount])</f>
        <v>55.01</v>
      </c>
      <c r="E41" t="str">
        <f t="shared" si="0"/>
        <v>111</v>
      </c>
      <c r="F41" t="str">
        <f t="shared" si="1"/>
        <v>At Risk</v>
      </c>
      <c r="H41" s="14" cm="1">
        <f t="array" ref="H41">INDEX(_xlfn._xlws.SORT(CHOOSE({1,2},$A$3:$A$948,$D$3:$D$948),2,-1),ROWS($H$34:H41),1)</f>
        <v>2526</v>
      </c>
      <c r="I41" cm="1">
        <f t="array" ref="I41">INDEX(_xlfn._xlws.SORT(CHOOSE({1,2},$A$3:$A$948,$D$3:$D$948),2,-1),ROWS($I$34:I41),2)</f>
        <v>1635.23</v>
      </c>
      <c r="J41">
        <f t="shared" si="2"/>
        <v>1</v>
      </c>
      <c r="K41">
        <f t="shared" si="3"/>
        <v>1</v>
      </c>
      <c r="L41">
        <f t="shared" si="4"/>
        <v>1</v>
      </c>
    </row>
    <row r="42" spans="1:12" x14ac:dyDescent="0.35">
      <c r="A42">
        <v>1480</v>
      </c>
      <c r="B42" s="3">
        <f>H$6-_xlfn.MAXIFS(Table1[PurchaseDate],Table1[CustomerID],A42)</f>
        <v>3</v>
      </c>
      <c r="C42">
        <f>COUNTIF(Table1[CustomerID],A42)</f>
        <v>2</v>
      </c>
      <c r="D42" s="12">
        <f>SUMIF(Table1[CustomerID],A42,Table1[TransactionAmount])</f>
        <v>1621.62</v>
      </c>
      <c r="E42" t="str">
        <f t="shared" si="0"/>
        <v>535</v>
      </c>
      <c r="F42" t="str">
        <f t="shared" si="1"/>
        <v>Champions</v>
      </c>
      <c r="H42" s="14" cm="1">
        <f t="array" ref="H42">INDEX(_xlfn._xlws.SORT(CHOOSE({1,2},$A$3:$A$948,$D$3:$D$948),2,-1),ROWS($H$34:H42),1)</f>
        <v>1480</v>
      </c>
      <c r="I42" cm="1">
        <f t="array" ref="I42">INDEX(_xlfn._xlws.SORT(CHOOSE({1,2},$A$3:$A$948,$D$3:$D$948),2,-1),ROWS($I$34:I42),2)</f>
        <v>1621.62</v>
      </c>
      <c r="J42">
        <f t="shared" si="2"/>
        <v>5</v>
      </c>
      <c r="K42">
        <f t="shared" si="3"/>
        <v>3</v>
      </c>
      <c r="L42">
        <f t="shared" si="4"/>
        <v>5</v>
      </c>
    </row>
    <row r="43" spans="1:12" x14ac:dyDescent="0.35">
      <c r="A43">
        <v>1500</v>
      </c>
      <c r="B43" s="3">
        <f>H$6-_xlfn.MAXIFS(Table1[PurchaseDate],Table1[CustomerID],A43)</f>
        <v>45</v>
      </c>
      <c r="C43">
        <f>COUNTIF(Table1[CustomerID],A43)</f>
        <v>1</v>
      </c>
      <c r="D43" s="12">
        <f>SUMIF(Table1[CustomerID],A43,Table1[TransactionAmount])</f>
        <v>378.74</v>
      </c>
      <c r="E43" t="str">
        <f t="shared" si="0"/>
        <v>212</v>
      </c>
      <c r="F43" t="str">
        <f t="shared" si="1"/>
        <v>At Risk</v>
      </c>
      <c r="H43" s="14" cm="1">
        <f t="array" ref="H43">INDEX(_xlfn._xlws.SORT(CHOOSE({1,2},$A$3:$A$948,$D$3:$D$948),2,-1),ROWS($H$34:H43),1)</f>
        <v>9514</v>
      </c>
      <c r="I43" cm="1">
        <f t="array" ref="I43">INDEX(_xlfn._xlws.SORT(CHOOSE({1,2},$A$3:$A$948,$D$3:$D$948),2,-1),ROWS($I$34:I43),2)</f>
        <v>1553.53</v>
      </c>
      <c r="J43">
        <f t="shared" si="2"/>
        <v>2</v>
      </c>
      <c r="K43">
        <f t="shared" si="3"/>
        <v>1</v>
      </c>
      <c r="L43">
        <f t="shared" si="4"/>
        <v>2</v>
      </c>
    </row>
    <row r="44" spans="1:12" x14ac:dyDescent="0.35">
      <c r="A44">
        <v>1502</v>
      </c>
      <c r="B44" s="3">
        <f>H$6-_xlfn.MAXIFS(Table1[PurchaseDate],Table1[CustomerID],A44)</f>
        <v>55</v>
      </c>
      <c r="C44">
        <f>COUNTIF(Table1[CustomerID],A44)</f>
        <v>1</v>
      </c>
      <c r="D44" s="12">
        <f>SUMIF(Table1[CustomerID],A44,Table1[TransactionAmount])</f>
        <v>748.65</v>
      </c>
      <c r="E44" t="str">
        <f t="shared" si="0"/>
        <v>114</v>
      </c>
      <c r="F44" t="str">
        <f t="shared" si="1"/>
        <v>Needs Attention</v>
      </c>
      <c r="J44">
        <f t="shared" si="2"/>
        <v>1</v>
      </c>
      <c r="K44">
        <f t="shared" si="3"/>
        <v>1</v>
      </c>
      <c r="L44">
        <f t="shared" si="4"/>
        <v>4</v>
      </c>
    </row>
    <row r="45" spans="1:12" x14ac:dyDescent="0.35">
      <c r="A45">
        <v>1504</v>
      </c>
      <c r="B45" s="3">
        <f>H$6-_xlfn.MAXIFS(Table1[PurchaseDate],Table1[CustomerID],A45)</f>
        <v>30</v>
      </c>
      <c r="C45">
        <f>COUNTIF(Table1[CustomerID],A45)</f>
        <v>1</v>
      </c>
      <c r="D45" s="12">
        <f>SUMIF(Table1[CustomerID],A45,Table1[TransactionAmount])</f>
        <v>164.76</v>
      </c>
      <c r="E45" t="str">
        <f t="shared" si="0"/>
        <v>311</v>
      </c>
      <c r="F45" t="str">
        <f t="shared" si="1"/>
        <v>Needs Attention</v>
      </c>
      <c r="J45">
        <f t="shared" si="2"/>
        <v>3</v>
      </c>
      <c r="K45">
        <f t="shared" si="3"/>
        <v>1</v>
      </c>
      <c r="L45">
        <f t="shared" si="4"/>
        <v>1</v>
      </c>
    </row>
    <row r="46" spans="1:12" x14ac:dyDescent="0.35">
      <c r="A46">
        <v>1505</v>
      </c>
      <c r="B46" s="3">
        <f>H$6-_xlfn.MAXIFS(Table1[PurchaseDate],Table1[CustomerID],A46)</f>
        <v>10</v>
      </c>
      <c r="C46">
        <f>COUNTIF(Table1[CustomerID],A46)</f>
        <v>1</v>
      </c>
      <c r="D46" s="12">
        <f>SUMIF(Table1[CustomerID],A46,Table1[TransactionAmount])</f>
        <v>763.45</v>
      </c>
      <c r="E46" t="str">
        <f t="shared" si="0"/>
        <v>514</v>
      </c>
      <c r="F46" t="str">
        <f t="shared" si="1"/>
        <v>Potential Loyalists</v>
      </c>
      <c r="H46" s="14" t="s">
        <v>38</v>
      </c>
      <c r="I46" t="s">
        <v>39</v>
      </c>
      <c r="J46">
        <f t="shared" si="2"/>
        <v>5</v>
      </c>
      <c r="K46">
        <f t="shared" si="3"/>
        <v>1</v>
      </c>
      <c r="L46">
        <f t="shared" si="4"/>
        <v>4</v>
      </c>
    </row>
    <row r="47" spans="1:12" x14ac:dyDescent="0.35">
      <c r="A47">
        <v>1507</v>
      </c>
      <c r="B47" s="3">
        <f>H$6-_xlfn.MAXIFS(Table1[PurchaseDate],Table1[CustomerID],A47)</f>
        <v>33</v>
      </c>
      <c r="C47">
        <f>COUNTIF(Table1[CustomerID],A47)</f>
        <v>1</v>
      </c>
      <c r="D47" s="12">
        <f>SUMIF(Table1[CustomerID],A47,Table1[TransactionAmount])</f>
        <v>943.02</v>
      </c>
      <c r="E47" t="str">
        <f t="shared" si="0"/>
        <v>315</v>
      </c>
      <c r="F47" t="str">
        <f t="shared" si="1"/>
        <v>Potential Loyalists</v>
      </c>
      <c r="H47" s="14" t="s">
        <v>25</v>
      </c>
      <c r="I47" s="6">
        <f>COUNTIF($F$3:$F$948,H47)/$I$26</f>
        <v>2.2198731501057084E-2</v>
      </c>
      <c r="J47">
        <f t="shared" si="2"/>
        <v>3</v>
      </c>
      <c r="K47">
        <f t="shared" si="3"/>
        <v>1</v>
      </c>
      <c r="L47">
        <f t="shared" si="4"/>
        <v>5</v>
      </c>
    </row>
    <row r="48" spans="1:12" x14ac:dyDescent="0.35">
      <c r="A48">
        <v>1509</v>
      </c>
      <c r="B48" s="3">
        <f>H$6-_xlfn.MAXIFS(Table1[PurchaseDate],Table1[CustomerID],A48)</f>
        <v>0</v>
      </c>
      <c r="C48">
        <f>COUNTIF(Table1[CustomerID],A48)</f>
        <v>1</v>
      </c>
      <c r="D48" s="12">
        <f>SUMIF(Table1[CustomerID],A48,Table1[TransactionAmount])</f>
        <v>410.35</v>
      </c>
      <c r="E48" t="str">
        <f t="shared" si="0"/>
        <v>512</v>
      </c>
      <c r="F48" t="str">
        <f t="shared" si="1"/>
        <v>Needs Attention</v>
      </c>
      <c r="H48" s="14" t="s">
        <v>26</v>
      </c>
      <c r="I48" s="6">
        <f t="shared" ref="I48:I51" si="7">COUNTIF($F$3:$F$948,H48)/$I$26</f>
        <v>1.6913319238900635E-2</v>
      </c>
      <c r="J48">
        <f t="shared" si="2"/>
        <v>5</v>
      </c>
      <c r="K48">
        <f t="shared" si="3"/>
        <v>1</v>
      </c>
      <c r="L48">
        <f t="shared" si="4"/>
        <v>2</v>
      </c>
    </row>
    <row r="49" spans="1:12" x14ac:dyDescent="0.35">
      <c r="A49">
        <v>1510</v>
      </c>
      <c r="B49" s="3">
        <f>H$6-_xlfn.MAXIFS(Table1[PurchaseDate],Table1[CustomerID],A49)</f>
        <v>51</v>
      </c>
      <c r="C49">
        <f>COUNTIF(Table1[CustomerID],A49)</f>
        <v>1</v>
      </c>
      <c r="D49" s="12">
        <f>SUMIF(Table1[CustomerID],A49,Table1[TransactionAmount])</f>
        <v>850.18</v>
      </c>
      <c r="E49" t="str">
        <f t="shared" si="0"/>
        <v>115</v>
      </c>
      <c r="F49" t="str">
        <f t="shared" si="1"/>
        <v>Needs Attention</v>
      </c>
      <c r="H49" s="14" t="s">
        <v>27</v>
      </c>
      <c r="I49" s="6">
        <f t="shared" si="7"/>
        <v>0.33509513742071884</v>
      </c>
      <c r="J49">
        <f t="shared" si="2"/>
        <v>1</v>
      </c>
      <c r="K49">
        <f t="shared" si="3"/>
        <v>1</v>
      </c>
      <c r="L49">
        <f t="shared" si="4"/>
        <v>5</v>
      </c>
    </row>
    <row r="50" spans="1:12" x14ac:dyDescent="0.35">
      <c r="A50">
        <v>1514</v>
      </c>
      <c r="B50" s="3">
        <f>H$6-_xlfn.MAXIFS(Table1[PurchaseDate],Table1[CustomerID],A50)</f>
        <v>5</v>
      </c>
      <c r="C50">
        <f>COUNTIF(Table1[CustomerID],A50)</f>
        <v>1</v>
      </c>
      <c r="D50" s="12">
        <f>SUMIF(Table1[CustomerID],A50,Table1[TransactionAmount])</f>
        <v>337.12</v>
      </c>
      <c r="E50" t="str">
        <f t="shared" si="0"/>
        <v>512</v>
      </c>
      <c r="F50" t="str">
        <f t="shared" si="1"/>
        <v>Needs Attention</v>
      </c>
      <c r="H50" s="14" t="s">
        <v>28</v>
      </c>
      <c r="I50" s="6">
        <f t="shared" si="7"/>
        <v>0.15539112050739959</v>
      </c>
      <c r="J50">
        <f t="shared" si="2"/>
        <v>5</v>
      </c>
      <c r="K50">
        <f t="shared" si="3"/>
        <v>1</v>
      </c>
      <c r="L50">
        <f t="shared" si="4"/>
        <v>2</v>
      </c>
    </row>
    <row r="51" spans="1:12" x14ac:dyDescent="0.35">
      <c r="A51">
        <v>1517</v>
      </c>
      <c r="B51" s="3">
        <f>H$6-_xlfn.MAXIFS(Table1[PurchaseDate],Table1[CustomerID],A51)</f>
        <v>24</v>
      </c>
      <c r="C51">
        <f>COUNTIF(Table1[CustomerID],A51)</f>
        <v>1</v>
      </c>
      <c r="D51" s="12">
        <f>SUMIF(Table1[CustomerID],A51,Table1[TransactionAmount])</f>
        <v>948.72</v>
      </c>
      <c r="E51" t="str">
        <f t="shared" si="0"/>
        <v>415</v>
      </c>
      <c r="F51" t="str">
        <f t="shared" si="1"/>
        <v>Potential Loyalists</v>
      </c>
      <c r="H51" s="14" t="s">
        <v>29</v>
      </c>
      <c r="I51" s="6">
        <f t="shared" si="7"/>
        <v>0.47040169133192389</v>
      </c>
      <c r="J51">
        <f t="shared" si="2"/>
        <v>4</v>
      </c>
      <c r="K51">
        <f t="shared" si="3"/>
        <v>1</v>
      </c>
      <c r="L51">
        <f t="shared" si="4"/>
        <v>5</v>
      </c>
    </row>
    <row r="52" spans="1:12" x14ac:dyDescent="0.35">
      <c r="A52">
        <v>1519</v>
      </c>
      <c r="B52" s="3">
        <f>H$6-_xlfn.MAXIFS(Table1[PurchaseDate],Table1[CustomerID],A52)</f>
        <v>39</v>
      </c>
      <c r="C52">
        <f>COUNTIF(Table1[CustomerID],A52)</f>
        <v>2</v>
      </c>
      <c r="D52" s="12">
        <f>SUMIF(Table1[CustomerID],A52,Table1[TransactionAmount])</f>
        <v>504.2</v>
      </c>
      <c r="E52" t="str">
        <f t="shared" si="0"/>
        <v>233</v>
      </c>
      <c r="F52" t="str">
        <f t="shared" si="1"/>
        <v>Needs Attention</v>
      </c>
      <c r="J52">
        <f t="shared" si="2"/>
        <v>2</v>
      </c>
      <c r="K52">
        <f t="shared" si="3"/>
        <v>3</v>
      </c>
      <c r="L52">
        <f t="shared" si="4"/>
        <v>3</v>
      </c>
    </row>
    <row r="53" spans="1:12" x14ac:dyDescent="0.35">
      <c r="A53">
        <v>1520</v>
      </c>
      <c r="B53" s="3">
        <f>H$6-_xlfn.MAXIFS(Table1[PurchaseDate],Table1[CustomerID],A53)</f>
        <v>59</v>
      </c>
      <c r="C53">
        <f>COUNTIF(Table1[CustomerID],A53)</f>
        <v>1</v>
      </c>
      <c r="D53" s="12">
        <f>SUMIF(Table1[CustomerID],A53,Table1[TransactionAmount])</f>
        <v>102.76</v>
      </c>
      <c r="E53" t="str">
        <f t="shared" si="0"/>
        <v>111</v>
      </c>
      <c r="F53" t="str">
        <f t="shared" si="1"/>
        <v>At Risk</v>
      </c>
      <c r="H53" s="13" t="s">
        <v>41</v>
      </c>
      <c r="I53" s="13"/>
      <c r="J53">
        <f t="shared" si="2"/>
        <v>1</v>
      </c>
      <c r="K53">
        <f t="shared" si="3"/>
        <v>1</v>
      </c>
      <c r="L53">
        <f t="shared" si="4"/>
        <v>1</v>
      </c>
    </row>
    <row r="54" spans="1:12" ht="43.5" x14ac:dyDescent="0.35">
      <c r="A54">
        <v>1530</v>
      </c>
      <c r="B54" s="3">
        <f>H$6-_xlfn.MAXIFS(Table1[PurchaseDate],Table1[CustomerID],A54)</f>
        <v>22</v>
      </c>
      <c r="C54">
        <f>COUNTIF(Table1[CustomerID],A54)</f>
        <v>1</v>
      </c>
      <c r="D54" s="12">
        <f>SUMIF(Table1[CustomerID],A54,Table1[TransactionAmount])</f>
        <v>161.9</v>
      </c>
      <c r="E54" t="str">
        <f t="shared" si="0"/>
        <v>411</v>
      </c>
      <c r="F54" t="str">
        <f t="shared" si="1"/>
        <v>Needs Attention</v>
      </c>
      <c r="H54" s="13" t="s">
        <v>42</v>
      </c>
      <c r="I54" s="13"/>
      <c r="J54">
        <f t="shared" si="2"/>
        <v>4</v>
      </c>
      <c r="K54">
        <f t="shared" si="3"/>
        <v>1</v>
      </c>
      <c r="L54">
        <f t="shared" si="4"/>
        <v>1</v>
      </c>
    </row>
    <row r="55" spans="1:12" ht="29" x14ac:dyDescent="0.35">
      <c r="A55">
        <v>1567</v>
      </c>
      <c r="B55" s="3">
        <f>H$6-_xlfn.MAXIFS(Table1[PurchaseDate],Table1[CustomerID],A55)</f>
        <v>21</v>
      </c>
      <c r="C55">
        <f>COUNTIF(Table1[CustomerID],A55)</f>
        <v>1</v>
      </c>
      <c r="D55" s="12">
        <f>SUMIF(Table1[CustomerID],A55,Table1[TransactionAmount])</f>
        <v>622.98</v>
      </c>
      <c r="E55" t="str">
        <f t="shared" si="0"/>
        <v>413</v>
      </c>
      <c r="F55" t="str">
        <f t="shared" si="1"/>
        <v>Potential Loyalists</v>
      </c>
      <c r="H55" s="13" t="s">
        <v>43</v>
      </c>
      <c r="I55" s="13"/>
      <c r="J55">
        <f t="shared" si="2"/>
        <v>4</v>
      </c>
      <c r="K55">
        <f t="shared" si="3"/>
        <v>1</v>
      </c>
      <c r="L55">
        <f t="shared" si="4"/>
        <v>3</v>
      </c>
    </row>
    <row r="56" spans="1:12" ht="43.5" x14ac:dyDescent="0.35">
      <c r="A56">
        <v>1590</v>
      </c>
      <c r="B56" s="3">
        <f>H$6-_xlfn.MAXIFS(Table1[PurchaseDate],Table1[CustomerID],A56)</f>
        <v>37</v>
      </c>
      <c r="C56">
        <f>COUNTIF(Table1[CustomerID],A56)</f>
        <v>1</v>
      </c>
      <c r="D56" s="12">
        <f>SUMIF(Table1[CustomerID],A56,Table1[TransactionAmount])</f>
        <v>246.86</v>
      </c>
      <c r="E56" t="str">
        <f t="shared" si="0"/>
        <v>312</v>
      </c>
      <c r="F56" t="str">
        <f t="shared" si="1"/>
        <v>Needs Attention</v>
      </c>
      <c r="H56" s="13" t="s">
        <v>44</v>
      </c>
      <c r="I56" s="13"/>
      <c r="J56">
        <f t="shared" si="2"/>
        <v>3</v>
      </c>
      <c r="K56">
        <f t="shared" si="3"/>
        <v>1</v>
      </c>
      <c r="L56">
        <f t="shared" si="4"/>
        <v>2</v>
      </c>
    </row>
    <row r="57" spans="1:12" ht="43.5" x14ac:dyDescent="0.35">
      <c r="A57">
        <v>1601</v>
      </c>
      <c r="B57" s="3">
        <f>H$6-_xlfn.MAXIFS(Table1[PurchaseDate],Table1[CustomerID],A57)</f>
        <v>31</v>
      </c>
      <c r="C57">
        <f>COUNTIF(Table1[CustomerID],A57)</f>
        <v>2</v>
      </c>
      <c r="D57" s="12">
        <f>SUMIF(Table1[CustomerID],A57,Table1[TransactionAmount])</f>
        <v>952.47</v>
      </c>
      <c r="E57" t="str">
        <f t="shared" si="0"/>
        <v>335</v>
      </c>
      <c r="F57" t="str">
        <f t="shared" si="1"/>
        <v>Loyal Customers</v>
      </c>
      <c r="H57" s="13" t="s">
        <v>45</v>
      </c>
      <c r="I57" s="13"/>
      <c r="J57">
        <f t="shared" si="2"/>
        <v>3</v>
      </c>
      <c r="K57">
        <f t="shared" si="3"/>
        <v>3</v>
      </c>
      <c r="L57">
        <f t="shared" si="4"/>
        <v>5</v>
      </c>
    </row>
    <row r="58" spans="1:12" ht="29" x14ac:dyDescent="0.35">
      <c r="A58">
        <v>1612</v>
      </c>
      <c r="B58" s="3">
        <f>H$6-_xlfn.MAXIFS(Table1[PurchaseDate],Table1[CustomerID],A58)</f>
        <v>14</v>
      </c>
      <c r="C58">
        <f>COUNTIF(Table1[CustomerID],A58)</f>
        <v>1</v>
      </c>
      <c r="D58" s="12">
        <f>SUMIF(Table1[CustomerID],A58,Table1[TransactionAmount])</f>
        <v>810.26</v>
      </c>
      <c r="E58" t="str">
        <f t="shared" si="0"/>
        <v>414</v>
      </c>
      <c r="F58" t="str">
        <f t="shared" si="1"/>
        <v>Potential Loyalists</v>
      </c>
      <c r="H58" s="13" t="s">
        <v>46</v>
      </c>
      <c r="I58" s="13"/>
      <c r="J58">
        <f t="shared" si="2"/>
        <v>4</v>
      </c>
      <c r="K58">
        <f t="shared" si="3"/>
        <v>1</v>
      </c>
      <c r="L58">
        <f t="shared" si="4"/>
        <v>4</v>
      </c>
    </row>
    <row r="59" spans="1:12" x14ac:dyDescent="0.35">
      <c r="A59">
        <v>1616</v>
      </c>
      <c r="B59" s="3">
        <f>H$6-_xlfn.MAXIFS(Table1[PurchaseDate],Table1[CustomerID],A59)</f>
        <v>57</v>
      </c>
      <c r="C59">
        <f>COUNTIF(Table1[CustomerID],A59)</f>
        <v>1</v>
      </c>
      <c r="D59" s="12">
        <f>SUMIF(Table1[CustomerID],A59,Table1[TransactionAmount])</f>
        <v>375.05</v>
      </c>
      <c r="E59" t="str">
        <f t="shared" si="0"/>
        <v>112</v>
      </c>
      <c r="F59" t="str">
        <f t="shared" si="1"/>
        <v>At Risk</v>
      </c>
      <c r="J59">
        <f t="shared" si="2"/>
        <v>1</v>
      </c>
      <c r="K59">
        <f t="shared" si="3"/>
        <v>1</v>
      </c>
      <c r="L59">
        <f t="shared" si="4"/>
        <v>2</v>
      </c>
    </row>
    <row r="60" spans="1:12" x14ac:dyDescent="0.35">
      <c r="A60">
        <v>1643</v>
      </c>
      <c r="B60" s="3">
        <f>H$6-_xlfn.MAXIFS(Table1[PurchaseDate],Table1[CustomerID],A60)</f>
        <v>25</v>
      </c>
      <c r="C60">
        <f>COUNTIF(Table1[CustomerID],A60)</f>
        <v>1</v>
      </c>
      <c r="D60" s="12">
        <f>SUMIF(Table1[CustomerID],A60,Table1[TransactionAmount])</f>
        <v>393.52</v>
      </c>
      <c r="E60" t="str">
        <f t="shared" si="0"/>
        <v>312</v>
      </c>
      <c r="F60" t="str">
        <f t="shared" si="1"/>
        <v>Needs Attention</v>
      </c>
      <c r="J60">
        <f t="shared" si="2"/>
        <v>3</v>
      </c>
      <c r="K60">
        <f t="shared" si="3"/>
        <v>1</v>
      </c>
      <c r="L60">
        <f t="shared" si="4"/>
        <v>2</v>
      </c>
    </row>
    <row r="61" spans="1:12" x14ac:dyDescent="0.35">
      <c r="A61">
        <v>1645</v>
      </c>
      <c r="B61" s="3">
        <f>H$6-_xlfn.MAXIFS(Table1[PurchaseDate],Table1[CustomerID],A61)</f>
        <v>25</v>
      </c>
      <c r="C61">
        <f>COUNTIF(Table1[CustomerID],A61)</f>
        <v>2</v>
      </c>
      <c r="D61" s="12">
        <f>SUMIF(Table1[CustomerID],A61,Table1[TransactionAmount])</f>
        <v>1292.1100000000001</v>
      </c>
      <c r="E61" t="str">
        <f t="shared" si="0"/>
        <v>335</v>
      </c>
      <c r="F61" t="str">
        <f t="shared" si="1"/>
        <v>Loyal Customers</v>
      </c>
      <c r="J61">
        <f t="shared" si="2"/>
        <v>3</v>
      </c>
      <c r="K61">
        <f t="shared" si="3"/>
        <v>3</v>
      </c>
      <c r="L61">
        <f t="shared" si="4"/>
        <v>5</v>
      </c>
    </row>
    <row r="62" spans="1:12" x14ac:dyDescent="0.35">
      <c r="A62">
        <v>1651</v>
      </c>
      <c r="B62" s="3">
        <f>H$6-_xlfn.MAXIFS(Table1[PurchaseDate],Table1[CustomerID],A62)</f>
        <v>45</v>
      </c>
      <c r="C62">
        <f>COUNTIF(Table1[CustomerID],A62)</f>
        <v>1</v>
      </c>
      <c r="D62" s="12">
        <f>SUMIF(Table1[CustomerID],A62,Table1[TransactionAmount])</f>
        <v>923.05</v>
      </c>
      <c r="E62" t="str">
        <f t="shared" si="0"/>
        <v>215</v>
      </c>
      <c r="F62" t="str">
        <f t="shared" si="1"/>
        <v>Needs Attention</v>
      </c>
      <c r="J62">
        <f t="shared" si="2"/>
        <v>2</v>
      </c>
      <c r="K62">
        <f t="shared" si="3"/>
        <v>1</v>
      </c>
      <c r="L62">
        <f t="shared" si="4"/>
        <v>5</v>
      </c>
    </row>
    <row r="63" spans="1:12" x14ac:dyDescent="0.35">
      <c r="A63">
        <v>1653</v>
      </c>
      <c r="B63" s="3">
        <f>H$6-_xlfn.MAXIFS(Table1[PurchaseDate],Table1[CustomerID],A63)</f>
        <v>17</v>
      </c>
      <c r="C63">
        <f>COUNTIF(Table1[CustomerID],A63)</f>
        <v>1</v>
      </c>
      <c r="D63" s="12">
        <f>SUMIF(Table1[CustomerID],A63,Table1[TransactionAmount])</f>
        <v>886.8</v>
      </c>
      <c r="E63" t="str">
        <f t="shared" si="0"/>
        <v>415</v>
      </c>
      <c r="F63" t="str">
        <f t="shared" si="1"/>
        <v>Potential Loyalists</v>
      </c>
      <c r="J63">
        <f t="shared" si="2"/>
        <v>4</v>
      </c>
      <c r="K63">
        <f t="shared" si="3"/>
        <v>1</v>
      </c>
      <c r="L63">
        <f t="shared" si="4"/>
        <v>5</v>
      </c>
    </row>
    <row r="64" spans="1:12" x14ac:dyDescent="0.35">
      <c r="A64">
        <v>1659</v>
      </c>
      <c r="B64" s="3">
        <f>H$6-_xlfn.MAXIFS(Table1[PurchaseDate],Table1[CustomerID],A64)</f>
        <v>12</v>
      </c>
      <c r="C64">
        <f>COUNTIF(Table1[CustomerID],A64)</f>
        <v>1</v>
      </c>
      <c r="D64" s="12">
        <f>SUMIF(Table1[CustomerID],A64,Table1[TransactionAmount])</f>
        <v>758.71</v>
      </c>
      <c r="E64" t="str">
        <f t="shared" si="0"/>
        <v>514</v>
      </c>
      <c r="F64" t="str">
        <f t="shared" si="1"/>
        <v>Potential Loyalists</v>
      </c>
      <c r="J64">
        <f t="shared" si="2"/>
        <v>5</v>
      </c>
      <c r="K64">
        <f t="shared" si="3"/>
        <v>1</v>
      </c>
      <c r="L64">
        <f t="shared" si="4"/>
        <v>4</v>
      </c>
    </row>
    <row r="65" spans="1:12" x14ac:dyDescent="0.35">
      <c r="A65">
        <v>1685</v>
      </c>
      <c r="B65" s="3">
        <f>H$6-_xlfn.MAXIFS(Table1[PurchaseDate],Table1[CustomerID],A65)</f>
        <v>22</v>
      </c>
      <c r="C65">
        <f>COUNTIF(Table1[CustomerID],A65)</f>
        <v>1</v>
      </c>
      <c r="D65" s="12">
        <f>SUMIF(Table1[CustomerID],A65,Table1[TransactionAmount])</f>
        <v>737.98</v>
      </c>
      <c r="E65" t="str">
        <f t="shared" si="0"/>
        <v>414</v>
      </c>
      <c r="F65" t="str">
        <f t="shared" si="1"/>
        <v>Potential Loyalists</v>
      </c>
      <c r="J65">
        <f t="shared" si="2"/>
        <v>4</v>
      </c>
      <c r="K65">
        <f t="shared" si="3"/>
        <v>1</v>
      </c>
      <c r="L65">
        <f t="shared" si="4"/>
        <v>4</v>
      </c>
    </row>
    <row r="66" spans="1:12" x14ac:dyDescent="0.35">
      <c r="A66">
        <v>1706</v>
      </c>
      <c r="B66" s="3">
        <f>H$6-_xlfn.MAXIFS(Table1[PurchaseDate],Table1[CustomerID],A66)</f>
        <v>52</v>
      </c>
      <c r="C66">
        <f>COUNTIF(Table1[CustomerID],A66)</f>
        <v>1</v>
      </c>
      <c r="D66" s="12">
        <f>SUMIF(Table1[CustomerID],A66,Table1[TransactionAmount])</f>
        <v>577.75</v>
      </c>
      <c r="E66" t="str">
        <f t="shared" si="0"/>
        <v>113</v>
      </c>
      <c r="F66" t="str">
        <f t="shared" si="1"/>
        <v>Needs Attention</v>
      </c>
      <c r="J66">
        <f t="shared" si="2"/>
        <v>1</v>
      </c>
      <c r="K66">
        <f t="shared" si="3"/>
        <v>1</v>
      </c>
      <c r="L66">
        <f t="shared" si="4"/>
        <v>3</v>
      </c>
    </row>
    <row r="67" spans="1:12" x14ac:dyDescent="0.35">
      <c r="A67">
        <v>1711</v>
      </c>
      <c r="B67" s="3">
        <f>H$6-_xlfn.MAXIFS(Table1[PurchaseDate],Table1[CustomerID],A67)</f>
        <v>14</v>
      </c>
      <c r="C67">
        <f>COUNTIF(Table1[CustomerID],A67)</f>
        <v>1</v>
      </c>
      <c r="D67" s="12">
        <f>SUMIF(Table1[CustomerID],A67,Table1[TransactionAmount])</f>
        <v>464.83</v>
      </c>
      <c r="E67" t="str">
        <f t="shared" si="0"/>
        <v>413</v>
      </c>
      <c r="F67" t="str">
        <f t="shared" si="1"/>
        <v>Potential Loyalists</v>
      </c>
      <c r="J67">
        <f t="shared" si="2"/>
        <v>4</v>
      </c>
      <c r="K67">
        <f t="shared" si="3"/>
        <v>1</v>
      </c>
      <c r="L67">
        <f t="shared" si="4"/>
        <v>3</v>
      </c>
    </row>
    <row r="68" spans="1:12" x14ac:dyDescent="0.35">
      <c r="A68">
        <v>1713</v>
      </c>
      <c r="B68" s="3">
        <f>H$6-_xlfn.MAXIFS(Table1[PurchaseDate],Table1[CustomerID],A68)</f>
        <v>20</v>
      </c>
      <c r="C68">
        <f>COUNTIF(Table1[CustomerID],A68)</f>
        <v>1</v>
      </c>
      <c r="D68" s="12">
        <f>SUMIF(Table1[CustomerID],A68,Table1[TransactionAmount])</f>
        <v>393.01</v>
      </c>
      <c r="E68" t="str">
        <f t="shared" ref="E68:E131" si="8">J68&amp;K68&amp;L68</f>
        <v>412</v>
      </c>
      <c r="F68" t="str">
        <f t="shared" ref="F68:F131" si="9">IF(AND(J68&gt;=4,K68&gt;=3,L68&gt;=4),"Champions",IF(AND(J68&gt;=3,K68&gt;=2,L68&gt;=3),"Loyal Customers",IF(AND(J68&gt;=3,L68&gt;=3),"Potential Loyalists",IF(AND(J68&lt;=2,L68&lt;=2),"At Risk","Needs Attention"))))</f>
        <v>Needs Attention</v>
      </c>
      <c r="J68">
        <f t="shared" ref="J68:J131" si="10">ROUNDUP((COUNT($B$3:$B$948)-_xlfn.RANK.EQ(B68,$B$3:$B$948,1)+1)/COUNT($B$3:$B$948)*5,0)</f>
        <v>4</v>
      </c>
      <c r="K68">
        <f t="shared" ref="K68:K131" si="11">IF(C68=1,1,IF(C68=2,3,IF(C68=3,4,5)))</f>
        <v>1</v>
      </c>
      <c r="L68">
        <f t="shared" ref="L68:L131" si="12">IF(D68&gt;=_xlfn.PERCENTILE.INC($D$3:$D$948,0.8),5,IF(D68&gt;=_xlfn.PERCENTILE.INC($D$3:$D$948,0.6),4,IF(D68&gt;=_xlfn.PERCENTILE.INC($D$3:$D$948,0.4),3,IF(D68&gt;=_xlfn.PERCENTILE.INC($D$3:$D$948,0.2),2,1))))</f>
        <v>2</v>
      </c>
    </row>
    <row r="69" spans="1:12" x14ac:dyDescent="0.35">
      <c r="A69">
        <v>1715</v>
      </c>
      <c r="B69" s="3">
        <f>H$6-_xlfn.MAXIFS(Table1[PurchaseDate],Table1[CustomerID],A69)</f>
        <v>34</v>
      </c>
      <c r="C69">
        <f>COUNTIF(Table1[CustomerID],A69)</f>
        <v>2</v>
      </c>
      <c r="D69" s="12">
        <f>SUMIF(Table1[CustomerID],A69,Table1[TransactionAmount])</f>
        <v>1117.92</v>
      </c>
      <c r="E69" t="str">
        <f t="shared" si="8"/>
        <v>335</v>
      </c>
      <c r="F69" t="str">
        <f t="shared" si="9"/>
        <v>Loyal Customers</v>
      </c>
      <c r="J69">
        <f t="shared" si="10"/>
        <v>3</v>
      </c>
      <c r="K69">
        <f t="shared" si="11"/>
        <v>3</v>
      </c>
      <c r="L69">
        <f t="shared" si="12"/>
        <v>5</v>
      </c>
    </row>
    <row r="70" spans="1:12" x14ac:dyDescent="0.35">
      <c r="A70">
        <v>1719</v>
      </c>
      <c r="B70" s="3">
        <f>H$6-_xlfn.MAXIFS(Table1[PurchaseDate],Table1[CustomerID],A70)</f>
        <v>11</v>
      </c>
      <c r="C70">
        <f>COUNTIF(Table1[CustomerID],A70)</f>
        <v>1</v>
      </c>
      <c r="D70" s="12">
        <f>SUMIF(Table1[CustomerID],A70,Table1[TransactionAmount])</f>
        <v>179.18</v>
      </c>
      <c r="E70" t="str">
        <f t="shared" si="8"/>
        <v>511</v>
      </c>
      <c r="F70" t="str">
        <f t="shared" si="9"/>
        <v>Needs Attention</v>
      </c>
      <c r="J70">
        <f t="shared" si="10"/>
        <v>5</v>
      </c>
      <c r="K70">
        <f t="shared" si="11"/>
        <v>1</v>
      </c>
      <c r="L70">
        <f t="shared" si="12"/>
        <v>1</v>
      </c>
    </row>
    <row r="71" spans="1:12" x14ac:dyDescent="0.35">
      <c r="A71">
        <v>1721</v>
      </c>
      <c r="B71" s="3">
        <f>H$6-_xlfn.MAXIFS(Table1[PurchaseDate],Table1[CustomerID],A71)</f>
        <v>6</v>
      </c>
      <c r="C71">
        <f>COUNTIF(Table1[CustomerID],A71)</f>
        <v>1</v>
      </c>
      <c r="D71" s="12">
        <f>SUMIF(Table1[CustomerID],A71,Table1[TransactionAmount])</f>
        <v>864.3</v>
      </c>
      <c r="E71" t="str">
        <f t="shared" si="8"/>
        <v>515</v>
      </c>
      <c r="F71" t="str">
        <f t="shared" si="9"/>
        <v>Potential Loyalists</v>
      </c>
      <c r="J71">
        <f t="shared" si="10"/>
        <v>5</v>
      </c>
      <c r="K71">
        <f t="shared" si="11"/>
        <v>1</v>
      </c>
      <c r="L71">
        <f t="shared" si="12"/>
        <v>5</v>
      </c>
    </row>
    <row r="72" spans="1:12" x14ac:dyDescent="0.35">
      <c r="A72">
        <v>1731</v>
      </c>
      <c r="B72" s="3">
        <f>H$6-_xlfn.MAXIFS(Table1[PurchaseDate],Table1[CustomerID],A72)</f>
        <v>44</v>
      </c>
      <c r="C72">
        <f>COUNTIF(Table1[CustomerID],A72)</f>
        <v>1</v>
      </c>
      <c r="D72" s="12">
        <f>SUMIF(Table1[CustomerID],A72,Table1[TransactionAmount])</f>
        <v>445.34</v>
      </c>
      <c r="E72" t="str">
        <f t="shared" si="8"/>
        <v>213</v>
      </c>
      <c r="F72" t="str">
        <f t="shared" si="9"/>
        <v>Needs Attention</v>
      </c>
      <c r="J72">
        <f t="shared" si="10"/>
        <v>2</v>
      </c>
      <c r="K72">
        <f t="shared" si="11"/>
        <v>1</v>
      </c>
      <c r="L72">
        <f t="shared" si="12"/>
        <v>3</v>
      </c>
    </row>
    <row r="73" spans="1:12" x14ac:dyDescent="0.35">
      <c r="A73">
        <v>1742</v>
      </c>
      <c r="B73" s="3">
        <f>H$6-_xlfn.MAXIFS(Table1[PurchaseDate],Table1[CustomerID],A73)</f>
        <v>58</v>
      </c>
      <c r="C73">
        <f>COUNTIF(Table1[CustomerID],A73)</f>
        <v>1</v>
      </c>
      <c r="D73" s="12">
        <f>SUMIF(Table1[CustomerID],A73,Table1[TransactionAmount])</f>
        <v>145.66999999999999</v>
      </c>
      <c r="E73" t="str">
        <f t="shared" si="8"/>
        <v>111</v>
      </c>
      <c r="F73" t="str">
        <f t="shared" si="9"/>
        <v>At Risk</v>
      </c>
      <c r="J73">
        <f t="shared" si="10"/>
        <v>1</v>
      </c>
      <c r="K73">
        <f t="shared" si="11"/>
        <v>1</v>
      </c>
      <c r="L73">
        <f t="shared" si="12"/>
        <v>1</v>
      </c>
    </row>
    <row r="74" spans="1:12" x14ac:dyDescent="0.35">
      <c r="A74">
        <v>1744</v>
      </c>
      <c r="B74" s="3">
        <f>H$6-_xlfn.MAXIFS(Table1[PurchaseDate],Table1[CustomerID],A74)</f>
        <v>46</v>
      </c>
      <c r="C74">
        <f>COUNTIF(Table1[CustomerID],A74)</f>
        <v>1</v>
      </c>
      <c r="D74" s="12">
        <f>SUMIF(Table1[CustomerID],A74,Table1[TransactionAmount])</f>
        <v>401.31</v>
      </c>
      <c r="E74" t="str">
        <f t="shared" si="8"/>
        <v>212</v>
      </c>
      <c r="F74" t="str">
        <f t="shared" si="9"/>
        <v>At Risk</v>
      </c>
      <c r="J74">
        <f t="shared" si="10"/>
        <v>2</v>
      </c>
      <c r="K74">
        <f t="shared" si="11"/>
        <v>1</v>
      </c>
      <c r="L74">
        <f t="shared" si="12"/>
        <v>2</v>
      </c>
    </row>
    <row r="75" spans="1:12" x14ac:dyDescent="0.35">
      <c r="A75">
        <v>1749</v>
      </c>
      <c r="B75" s="3">
        <f>H$6-_xlfn.MAXIFS(Table1[PurchaseDate],Table1[CustomerID],A75)</f>
        <v>41</v>
      </c>
      <c r="C75">
        <f>COUNTIF(Table1[CustomerID],A75)</f>
        <v>1</v>
      </c>
      <c r="D75" s="12">
        <f>SUMIF(Table1[CustomerID],A75,Table1[TransactionAmount])</f>
        <v>948.98</v>
      </c>
      <c r="E75" t="str">
        <f t="shared" si="8"/>
        <v>215</v>
      </c>
      <c r="F75" t="str">
        <f t="shared" si="9"/>
        <v>Needs Attention</v>
      </c>
      <c r="J75">
        <f t="shared" si="10"/>
        <v>2</v>
      </c>
      <c r="K75">
        <f t="shared" si="11"/>
        <v>1</v>
      </c>
      <c r="L75">
        <f t="shared" si="12"/>
        <v>5</v>
      </c>
    </row>
    <row r="76" spans="1:12" x14ac:dyDescent="0.35">
      <c r="A76">
        <v>1753</v>
      </c>
      <c r="B76" s="3">
        <f>H$6-_xlfn.MAXIFS(Table1[PurchaseDate],Table1[CustomerID],A76)</f>
        <v>56</v>
      </c>
      <c r="C76">
        <f>COUNTIF(Table1[CustomerID],A76)</f>
        <v>1</v>
      </c>
      <c r="D76" s="12">
        <f>SUMIF(Table1[CustomerID],A76,Table1[TransactionAmount])</f>
        <v>269</v>
      </c>
      <c r="E76" t="str">
        <f t="shared" si="8"/>
        <v>112</v>
      </c>
      <c r="F76" t="str">
        <f t="shared" si="9"/>
        <v>At Risk</v>
      </c>
      <c r="J76">
        <f t="shared" si="10"/>
        <v>1</v>
      </c>
      <c r="K76">
        <f t="shared" si="11"/>
        <v>1</v>
      </c>
      <c r="L76">
        <f t="shared" si="12"/>
        <v>2</v>
      </c>
    </row>
    <row r="77" spans="1:12" x14ac:dyDescent="0.35">
      <c r="A77">
        <v>1803</v>
      </c>
      <c r="B77" s="3">
        <f>H$6-_xlfn.MAXIFS(Table1[PurchaseDate],Table1[CustomerID],A77)</f>
        <v>2</v>
      </c>
      <c r="C77">
        <f>COUNTIF(Table1[CustomerID],A77)</f>
        <v>2</v>
      </c>
      <c r="D77" s="12">
        <f>SUMIF(Table1[CustomerID],A77,Table1[TransactionAmount])</f>
        <v>1033.1300000000001</v>
      </c>
      <c r="E77" t="str">
        <f t="shared" si="8"/>
        <v>535</v>
      </c>
      <c r="F77" t="str">
        <f t="shared" si="9"/>
        <v>Champions</v>
      </c>
      <c r="J77">
        <f t="shared" si="10"/>
        <v>5</v>
      </c>
      <c r="K77">
        <f t="shared" si="11"/>
        <v>3</v>
      </c>
      <c r="L77">
        <f t="shared" si="12"/>
        <v>5</v>
      </c>
    </row>
    <row r="78" spans="1:12" x14ac:dyDescent="0.35">
      <c r="A78">
        <v>1813</v>
      </c>
      <c r="B78" s="3">
        <f>H$6-_xlfn.MAXIFS(Table1[PurchaseDate],Table1[CustomerID],A78)</f>
        <v>35</v>
      </c>
      <c r="C78">
        <f>COUNTIF(Table1[CustomerID],A78)</f>
        <v>1</v>
      </c>
      <c r="D78" s="12">
        <f>SUMIF(Table1[CustomerID],A78,Table1[TransactionAmount])</f>
        <v>576.04999999999995</v>
      </c>
      <c r="E78" t="str">
        <f t="shared" si="8"/>
        <v>313</v>
      </c>
      <c r="F78" t="str">
        <f t="shared" si="9"/>
        <v>Potential Loyalists</v>
      </c>
      <c r="J78">
        <f t="shared" si="10"/>
        <v>3</v>
      </c>
      <c r="K78">
        <f t="shared" si="11"/>
        <v>1</v>
      </c>
      <c r="L78">
        <f t="shared" si="12"/>
        <v>3</v>
      </c>
    </row>
    <row r="79" spans="1:12" x14ac:dyDescent="0.35">
      <c r="A79">
        <v>1820</v>
      </c>
      <c r="B79" s="3">
        <f>H$6-_xlfn.MAXIFS(Table1[PurchaseDate],Table1[CustomerID],A79)</f>
        <v>54</v>
      </c>
      <c r="C79">
        <f>COUNTIF(Table1[CustomerID],A79)</f>
        <v>1</v>
      </c>
      <c r="D79" s="12">
        <f>SUMIF(Table1[CustomerID],A79,Table1[TransactionAmount])</f>
        <v>815.05</v>
      </c>
      <c r="E79" t="str">
        <f t="shared" si="8"/>
        <v>114</v>
      </c>
      <c r="F79" t="str">
        <f t="shared" si="9"/>
        <v>Needs Attention</v>
      </c>
      <c r="J79">
        <f t="shared" si="10"/>
        <v>1</v>
      </c>
      <c r="K79">
        <f t="shared" si="11"/>
        <v>1</v>
      </c>
      <c r="L79">
        <f t="shared" si="12"/>
        <v>4</v>
      </c>
    </row>
    <row r="80" spans="1:12" x14ac:dyDescent="0.35">
      <c r="A80">
        <v>1828</v>
      </c>
      <c r="B80" s="3">
        <f>H$6-_xlfn.MAXIFS(Table1[PurchaseDate],Table1[CustomerID],A80)</f>
        <v>19</v>
      </c>
      <c r="C80">
        <f>COUNTIF(Table1[CustomerID],A80)</f>
        <v>1</v>
      </c>
      <c r="D80" s="12">
        <f>SUMIF(Table1[CustomerID],A80,Table1[TransactionAmount])</f>
        <v>999.29</v>
      </c>
      <c r="E80" t="str">
        <f t="shared" si="8"/>
        <v>415</v>
      </c>
      <c r="F80" t="str">
        <f t="shared" si="9"/>
        <v>Potential Loyalists</v>
      </c>
      <c r="J80">
        <f t="shared" si="10"/>
        <v>4</v>
      </c>
      <c r="K80">
        <f t="shared" si="11"/>
        <v>1</v>
      </c>
      <c r="L80">
        <f t="shared" si="12"/>
        <v>5</v>
      </c>
    </row>
    <row r="81" spans="1:12" x14ac:dyDescent="0.35">
      <c r="A81">
        <v>1833</v>
      </c>
      <c r="B81" s="3">
        <f>H$6-_xlfn.MAXIFS(Table1[PurchaseDate],Table1[CustomerID],A81)</f>
        <v>11</v>
      </c>
      <c r="C81">
        <f>COUNTIF(Table1[CustomerID],A81)</f>
        <v>1</v>
      </c>
      <c r="D81" s="12">
        <f>SUMIF(Table1[CustomerID],A81,Table1[TransactionAmount])</f>
        <v>933.06</v>
      </c>
      <c r="E81" t="str">
        <f t="shared" si="8"/>
        <v>515</v>
      </c>
      <c r="F81" t="str">
        <f t="shared" si="9"/>
        <v>Potential Loyalists</v>
      </c>
      <c r="J81">
        <f t="shared" si="10"/>
        <v>5</v>
      </c>
      <c r="K81">
        <f t="shared" si="11"/>
        <v>1</v>
      </c>
      <c r="L81">
        <f t="shared" si="12"/>
        <v>5</v>
      </c>
    </row>
    <row r="82" spans="1:12" x14ac:dyDescent="0.35">
      <c r="A82">
        <v>1842</v>
      </c>
      <c r="B82" s="3">
        <f>H$6-_xlfn.MAXIFS(Table1[PurchaseDate],Table1[CustomerID],A82)</f>
        <v>42</v>
      </c>
      <c r="C82">
        <f>COUNTIF(Table1[CustomerID],A82)</f>
        <v>1</v>
      </c>
      <c r="D82" s="12">
        <f>SUMIF(Table1[CustomerID],A82,Table1[TransactionAmount])</f>
        <v>604.41</v>
      </c>
      <c r="E82" t="str">
        <f t="shared" si="8"/>
        <v>213</v>
      </c>
      <c r="F82" t="str">
        <f t="shared" si="9"/>
        <v>Needs Attention</v>
      </c>
      <c r="J82">
        <f t="shared" si="10"/>
        <v>2</v>
      </c>
      <c r="K82">
        <f t="shared" si="11"/>
        <v>1</v>
      </c>
      <c r="L82">
        <f t="shared" si="12"/>
        <v>3</v>
      </c>
    </row>
    <row r="83" spans="1:12" x14ac:dyDescent="0.35">
      <c r="A83">
        <v>1878</v>
      </c>
      <c r="B83" s="3">
        <f>H$6-_xlfn.MAXIFS(Table1[PurchaseDate],Table1[CustomerID],A83)</f>
        <v>5</v>
      </c>
      <c r="C83">
        <f>COUNTIF(Table1[CustomerID],A83)</f>
        <v>1</v>
      </c>
      <c r="D83" s="12">
        <f>SUMIF(Table1[CustomerID],A83,Table1[TransactionAmount])</f>
        <v>365.45</v>
      </c>
      <c r="E83" t="str">
        <f t="shared" si="8"/>
        <v>512</v>
      </c>
      <c r="F83" t="str">
        <f t="shared" si="9"/>
        <v>Needs Attention</v>
      </c>
      <c r="J83">
        <f t="shared" si="10"/>
        <v>5</v>
      </c>
      <c r="K83">
        <f t="shared" si="11"/>
        <v>1</v>
      </c>
      <c r="L83">
        <f t="shared" si="12"/>
        <v>2</v>
      </c>
    </row>
    <row r="84" spans="1:12" x14ac:dyDescent="0.35">
      <c r="A84">
        <v>1879</v>
      </c>
      <c r="B84" s="3">
        <f>H$6-_xlfn.MAXIFS(Table1[PurchaseDate],Table1[CustomerID],A84)</f>
        <v>54</v>
      </c>
      <c r="C84">
        <f>COUNTIF(Table1[CustomerID],A84)</f>
        <v>1</v>
      </c>
      <c r="D84" s="12">
        <f>SUMIF(Table1[CustomerID],A84,Table1[TransactionAmount])</f>
        <v>442.72</v>
      </c>
      <c r="E84" t="str">
        <f t="shared" si="8"/>
        <v>113</v>
      </c>
      <c r="F84" t="str">
        <f t="shared" si="9"/>
        <v>Needs Attention</v>
      </c>
      <c r="J84">
        <f t="shared" si="10"/>
        <v>1</v>
      </c>
      <c r="K84">
        <f t="shared" si="11"/>
        <v>1</v>
      </c>
      <c r="L84">
        <f t="shared" si="12"/>
        <v>3</v>
      </c>
    </row>
    <row r="85" spans="1:12" x14ac:dyDescent="0.35">
      <c r="A85">
        <v>1886</v>
      </c>
      <c r="B85" s="3">
        <f>H$6-_xlfn.MAXIFS(Table1[PurchaseDate],Table1[CustomerID],A85)</f>
        <v>41</v>
      </c>
      <c r="C85">
        <f>COUNTIF(Table1[CustomerID],A85)</f>
        <v>1</v>
      </c>
      <c r="D85" s="12">
        <f>SUMIF(Table1[CustomerID],A85,Table1[TransactionAmount])</f>
        <v>529.14</v>
      </c>
      <c r="E85" t="str">
        <f t="shared" si="8"/>
        <v>213</v>
      </c>
      <c r="F85" t="str">
        <f t="shared" si="9"/>
        <v>Needs Attention</v>
      </c>
      <c r="J85">
        <f t="shared" si="10"/>
        <v>2</v>
      </c>
      <c r="K85">
        <f t="shared" si="11"/>
        <v>1</v>
      </c>
      <c r="L85">
        <f t="shared" si="12"/>
        <v>3</v>
      </c>
    </row>
    <row r="86" spans="1:12" x14ac:dyDescent="0.35">
      <c r="A86">
        <v>1891</v>
      </c>
      <c r="B86" s="3">
        <f>H$6-_xlfn.MAXIFS(Table1[PurchaseDate],Table1[CustomerID],A86)</f>
        <v>6</v>
      </c>
      <c r="C86">
        <f>COUNTIF(Table1[CustomerID],A86)</f>
        <v>1</v>
      </c>
      <c r="D86" s="12">
        <f>SUMIF(Table1[CustomerID],A86,Table1[TransactionAmount])</f>
        <v>753.53</v>
      </c>
      <c r="E86" t="str">
        <f t="shared" si="8"/>
        <v>514</v>
      </c>
      <c r="F86" t="str">
        <f t="shared" si="9"/>
        <v>Potential Loyalists</v>
      </c>
      <c r="J86">
        <f t="shared" si="10"/>
        <v>5</v>
      </c>
      <c r="K86">
        <f t="shared" si="11"/>
        <v>1</v>
      </c>
      <c r="L86">
        <f t="shared" si="12"/>
        <v>4</v>
      </c>
    </row>
    <row r="87" spans="1:12" x14ac:dyDescent="0.35">
      <c r="A87">
        <v>1901</v>
      </c>
      <c r="B87" s="3">
        <f>H$6-_xlfn.MAXIFS(Table1[PurchaseDate],Table1[CustomerID],A87)</f>
        <v>41</v>
      </c>
      <c r="C87">
        <f>COUNTIF(Table1[CustomerID],A87)</f>
        <v>1</v>
      </c>
      <c r="D87" s="12">
        <f>SUMIF(Table1[CustomerID],A87,Table1[TransactionAmount])</f>
        <v>669.42</v>
      </c>
      <c r="E87" t="str">
        <f t="shared" si="8"/>
        <v>214</v>
      </c>
      <c r="F87" t="str">
        <f t="shared" si="9"/>
        <v>Needs Attention</v>
      </c>
      <c r="J87">
        <f t="shared" si="10"/>
        <v>2</v>
      </c>
      <c r="K87">
        <f t="shared" si="11"/>
        <v>1</v>
      </c>
      <c r="L87">
        <f t="shared" si="12"/>
        <v>4</v>
      </c>
    </row>
    <row r="88" spans="1:12" x14ac:dyDescent="0.35">
      <c r="A88">
        <v>1919</v>
      </c>
      <c r="B88" s="3">
        <f>H$6-_xlfn.MAXIFS(Table1[PurchaseDate],Table1[CustomerID],A88)</f>
        <v>42</v>
      </c>
      <c r="C88">
        <f>COUNTIF(Table1[CustomerID],A88)</f>
        <v>1</v>
      </c>
      <c r="D88" s="12">
        <f>SUMIF(Table1[CustomerID],A88,Table1[TransactionAmount])</f>
        <v>364.88</v>
      </c>
      <c r="E88" t="str">
        <f t="shared" si="8"/>
        <v>212</v>
      </c>
      <c r="F88" t="str">
        <f t="shared" si="9"/>
        <v>At Risk</v>
      </c>
      <c r="J88">
        <f t="shared" si="10"/>
        <v>2</v>
      </c>
      <c r="K88">
        <f t="shared" si="11"/>
        <v>1</v>
      </c>
      <c r="L88">
        <f t="shared" si="12"/>
        <v>2</v>
      </c>
    </row>
    <row r="89" spans="1:12" x14ac:dyDescent="0.35">
      <c r="A89">
        <v>1920</v>
      </c>
      <c r="B89" s="3">
        <f>H$6-_xlfn.MAXIFS(Table1[PurchaseDate],Table1[CustomerID],A89)</f>
        <v>38</v>
      </c>
      <c r="C89">
        <f>COUNTIF(Table1[CustomerID],A89)</f>
        <v>2</v>
      </c>
      <c r="D89" s="12">
        <f>SUMIF(Table1[CustomerID],A89,Table1[TransactionAmount])</f>
        <v>1117.9099999999999</v>
      </c>
      <c r="E89" t="str">
        <f t="shared" si="8"/>
        <v>235</v>
      </c>
      <c r="F89" t="str">
        <f t="shared" si="9"/>
        <v>Needs Attention</v>
      </c>
      <c r="J89">
        <f t="shared" si="10"/>
        <v>2</v>
      </c>
      <c r="K89">
        <f t="shared" si="11"/>
        <v>3</v>
      </c>
      <c r="L89">
        <f t="shared" si="12"/>
        <v>5</v>
      </c>
    </row>
    <row r="90" spans="1:12" x14ac:dyDescent="0.35">
      <c r="A90">
        <v>1924</v>
      </c>
      <c r="B90" s="3">
        <f>H$6-_xlfn.MAXIFS(Table1[PurchaseDate],Table1[CustomerID],A90)</f>
        <v>52</v>
      </c>
      <c r="C90">
        <f>COUNTIF(Table1[CustomerID],A90)</f>
        <v>1</v>
      </c>
      <c r="D90" s="12">
        <f>SUMIF(Table1[CustomerID],A90,Table1[TransactionAmount])</f>
        <v>508.86</v>
      </c>
      <c r="E90" t="str">
        <f t="shared" si="8"/>
        <v>113</v>
      </c>
      <c r="F90" t="str">
        <f t="shared" si="9"/>
        <v>Needs Attention</v>
      </c>
      <c r="J90">
        <f t="shared" si="10"/>
        <v>1</v>
      </c>
      <c r="K90">
        <f t="shared" si="11"/>
        <v>1</v>
      </c>
      <c r="L90">
        <f t="shared" si="12"/>
        <v>3</v>
      </c>
    </row>
    <row r="91" spans="1:12" x14ac:dyDescent="0.35">
      <c r="A91">
        <v>1936</v>
      </c>
      <c r="B91" s="3">
        <f>H$6-_xlfn.MAXIFS(Table1[PurchaseDate],Table1[CustomerID],A91)</f>
        <v>57</v>
      </c>
      <c r="C91">
        <f>COUNTIF(Table1[CustomerID],A91)</f>
        <v>1</v>
      </c>
      <c r="D91" s="12">
        <f>SUMIF(Table1[CustomerID],A91,Table1[TransactionAmount])</f>
        <v>588.34</v>
      </c>
      <c r="E91" t="str">
        <f t="shared" si="8"/>
        <v>113</v>
      </c>
      <c r="F91" t="str">
        <f t="shared" si="9"/>
        <v>Needs Attention</v>
      </c>
      <c r="J91">
        <f t="shared" si="10"/>
        <v>1</v>
      </c>
      <c r="K91">
        <f t="shared" si="11"/>
        <v>1</v>
      </c>
      <c r="L91">
        <f t="shared" si="12"/>
        <v>3</v>
      </c>
    </row>
    <row r="92" spans="1:12" x14ac:dyDescent="0.35">
      <c r="A92">
        <v>1944</v>
      </c>
      <c r="B92" s="3">
        <f>H$6-_xlfn.MAXIFS(Table1[PurchaseDate],Table1[CustomerID],A92)</f>
        <v>25</v>
      </c>
      <c r="C92">
        <f>COUNTIF(Table1[CustomerID],A92)</f>
        <v>1</v>
      </c>
      <c r="D92" s="12">
        <f>SUMIF(Table1[CustomerID],A92,Table1[TransactionAmount])</f>
        <v>418.55</v>
      </c>
      <c r="E92" t="str">
        <f t="shared" si="8"/>
        <v>312</v>
      </c>
      <c r="F92" t="str">
        <f t="shared" si="9"/>
        <v>Needs Attention</v>
      </c>
      <c r="J92">
        <f t="shared" si="10"/>
        <v>3</v>
      </c>
      <c r="K92">
        <f t="shared" si="11"/>
        <v>1</v>
      </c>
      <c r="L92">
        <f t="shared" si="12"/>
        <v>2</v>
      </c>
    </row>
    <row r="93" spans="1:12" x14ac:dyDescent="0.35">
      <c r="A93">
        <v>1960</v>
      </c>
      <c r="B93" s="3">
        <f>H$6-_xlfn.MAXIFS(Table1[PurchaseDate],Table1[CustomerID],A93)</f>
        <v>0</v>
      </c>
      <c r="C93">
        <f>COUNTIF(Table1[CustomerID],A93)</f>
        <v>1</v>
      </c>
      <c r="D93" s="12">
        <f>SUMIF(Table1[CustomerID],A93,Table1[TransactionAmount])</f>
        <v>845.91</v>
      </c>
      <c r="E93" t="str">
        <f t="shared" si="8"/>
        <v>515</v>
      </c>
      <c r="F93" t="str">
        <f t="shared" si="9"/>
        <v>Potential Loyalists</v>
      </c>
      <c r="J93">
        <f t="shared" si="10"/>
        <v>5</v>
      </c>
      <c r="K93">
        <f t="shared" si="11"/>
        <v>1</v>
      </c>
      <c r="L93">
        <f t="shared" si="12"/>
        <v>5</v>
      </c>
    </row>
    <row r="94" spans="1:12" x14ac:dyDescent="0.35">
      <c r="A94">
        <v>1972</v>
      </c>
      <c r="B94" s="3">
        <f>H$6-_xlfn.MAXIFS(Table1[PurchaseDate],Table1[CustomerID],A94)</f>
        <v>24</v>
      </c>
      <c r="C94">
        <f>COUNTIF(Table1[CustomerID],A94)</f>
        <v>1</v>
      </c>
      <c r="D94" s="12">
        <f>SUMIF(Table1[CustomerID],A94,Table1[TransactionAmount])</f>
        <v>357.31</v>
      </c>
      <c r="E94" t="str">
        <f t="shared" si="8"/>
        <v>412</v>
      </c>
      <c r="F94" t="str">
        <f t="shared" si="9"/>
        <v>Needs Attention</v>
      </c>
      <c r="J94">
        <f t="shared" si="10"/>
        <v>4</v>
      </c>
      <c r="K94">
        <f t="shared" si="11"/>
        <v>1</v>
      </c>
      <c r="L94">
        <f t="shared" si="12"/>
        <v>2</v>
      </c>
    </row>
    <row r="95" spans="1:12" x14ac:dyDescent="0.35">
      <c r="A95">
        <v>1984</v>
      </c>
      <c r="B95" s="3">
        <f>H$6-_xlfn.MAXIFS(Table1[PurchaseDate],Table1[CustomerID],A95)</f>
        <v>42</v>
      </c>
      <c r="C95">
        <f>COUNTIF(Table1[CustomerID],A95)</f>
        <v>1</v>
      </c>
      <c r="D95" s="12">
        <f>SUMIF(Table1[CustomerID],A95,Table1[TransactionAmount])</f>
        <v>208.69</v>
      </c>
      <c r="E95" t="str">
        <f t="shared" si="8"/>
        <v>211</v>
      </c>
      <c r="F95" t="str">
        <f t="shared" si="9"/>
        <v>At Risk</v>
      </c>
      <c r="J95">
        <f t="shared" si="10"/>
        <v>2</v>
      </c>
      <c r="K95">
        <f t="shared" si="11"/>
        <v>1</v>
      </c>
      <c r="L95">
        <f t="shared" si="12"/>
        <v>1</v>
      </c>
    </row>
    <row r="96" spans="1:12" x14ac:dyDescent="0.35">
      <c r="A96">
        <v>1990</v>
      </c>
      <c r="B96" s="3">
        <f>H$6-_xlfn.MAXIFS(Table1[PurchaseDate],Table1[CustomerID],A96)</f>
        <v>0</v>
      </c>
      <c r="C96">
        <f>COUNTIF(Table1[CustomerID],A96)</f>
        <v>1</v>
      </c>
      <c r="D96" s="12">
        <f>SUMIF(Table1[CustomerID],A96,Table1[TransactionAmount])</f>
        <v>791.4</v>
      </c>
      <c r="E96" t="str">
        <f t="shared" si="8"/>
        <v>514</v>
      </c>
      <c r="F96" t="str">
        <f t="shared" si="9"/>
        <v>Potential Loyalists</v>
      </c>
      <c r="J96">
        <f t="shared" si="10"/>
        <v>5</v>
      </c>
      <c r="K96">
        <f t="shared" si="11"/>
        <v>1</v>
      </c>
      <c r="L96">
        <f t="shared" si="12"/>
        <v>4</v>
      </c>
    </row>
    <row r="97" spans="1:12" x14ac:dyDescent="0.35">
      <c r="A97">
        <v>1992</v>
      </c>
      <c r="B97" s="3">
        <f>H$6-_xlfn.MAXIFS(Table1[PurchaseDate],Table1[CustomerID],A97)</f>
        <v>35</v>
      </c>
      <c r="C97">
        <f>COUNTIF(Table1[CustomerID],A97)</f>
        <v>1</v>
      </c>
      <c r="D97" s="12">
        <f>SUMIF(Table1[CustomerID],A97,Table1[TransactionAmount])</f>
        <v>283.12</v>
      </c>
      <c r="E97" t="str">
        <f t="shared" si="8"/>
        <v>312</v>
      </c>
      <c r="F97" t="str">
        <f t="shared" si="9"/>
        <v>Needs Attention</v>
      </c>
      <c r="J97">
        <f t="shared" si="10"/>
        <v>3</v>
      </c>
      <c r="K97">
        <f t="shared" si="11"/>
        <v>1</v>
      </c>
      <c r="L97">
        <f t="shared" si="12"/>
        <v>2</v>
      </c>
    </row>
    <row r="98" spans="1:12" x14ac:dyDescent="0.35">
      <c r="A98">
        <v>1993</v>
      </c>
      <c r="B98" s="3">
        <f>H$6-_xlfn.MAXIFS(Table1[PurchaseDate],Table1[CustomerID],A98)</f>
        <v>35</v>
      </c>
      <c r="C98">
        <f>COUNTIF(Table1[CustomerID],A98)</f>
        <v>1</v>
      </c>
      <c r="D98" s="12">
        <f>SUMIF(Table1[CustomerID],A98,Table1[TransactionAmount])</f>
        <v>730.93</v>
      </c>
      <c r="E98" t="str">
        <f t="shared" si="8"/>
        <v>314</v>
      </c>
      <c r="F98" t="str">
        <f t="shared" si="9"/>
        <v>Potential Loyalists</v>
      </c>
      <c r="J98">
        <f t="shared" si="10"/>
        <v>3</v>
      </c>
      <c r="K98">
        <f t="shared" si="11"/>
        <v>1</v>
      </c>
      <c r="L98">
        <f t="shared" si="12"/>
        <v>4</v>
      </c>
    </row>
    <row r="99" spans="1:12" x14ac:dyDescent="0.35">
      <c r="A99">
        <v>2009</v>
      </c>
      <c r="B99" s="3">
        <f>H$6-_xlfn.MAXIFS(Table1[PurchaseDate],Table1[CustomerID],A99)</f>
        <v>51</v>
      </c>
      <c r="C99">
        <f>COUNTIF(Table1[CustomerID],A99)</f>
        <v>1</v>
      </c>
      <c r="D99" s="12">
        <f>SUMIF(Table1[CustomerID],A99,Table1[TransactionAmount])</f>
        <v>754.71</v>
      </c>
      <c r="E99" t="str">
        <f t="shared" si="8"/>
        <v>114</v>
      </c>
      <c r="F99" t="str">
        <f t="shared" si="9"/>
        <v>Needs Attention</v>
      </c>
      <c r="J99">
        <f t="shared" si="10"/>
        <v>1</v>
      </c>
      <c r="K99">
        <f t="shared" si="11"/>
        <v>1</v>
      </c>
      <c r="L99">
        <f t="shared" si="12"/>
        <v>4</v>
      </c>
    </row>
    <row r="100" spans="1:12" x14ac:dyDescent="0.35">
      <c r="A100">
        <v>2010</v>
      </c>
      <c r="B100" s="3">
        <f>H$6-_xlfn.MAXIFS(Table1[PurchaseDate],Table1[CustomerID],A100)</f>
        <v>7</v>
      </c>
      <c r="C100">
        <f>COUNTIF(Table1[CustomerID],A100)</f>
        <v>1</v>
      </c>
      <c r="D100" s="12">
        <f>SUMIF(Table1[CustomerID],A100,Table1[TransactionAmount])</f>
        <v>783.15</v>
      </c>
      <c r="E100" t="str">
        <f t="shared" si="8"/>
        <v>514</v>
      </c>
      <c r="F100" t="str">
        <f t="shared" si="9"/>
        <v>Potential Loyalists</v>
      </c>
      <c r="J100">
        <f t="shared" si="10"/>
        <v>5</v>
      </c>
      <c r="K100">
        <f t="shared" si="11"/>
        <v>1</v>
      </c>
      <c r="L100">
        <f t="shared" si="12"/>
        <v>4</v>
      </c>
    </row>
    <row r="101" spans="1:12" x14ac:dyDescent="0.35">
      <c r="A101">
        <v>2011</v>
      </c>
      <c r="B101" s="3">
        <f>H$6-_xlfn.MAXIFS(Table1[PurchaseDate],Table1[CustomerID],A101)</f>
        <v>7</v>
      </c>
      <c r="C101">
        <f>COUNTIF(Table1[CustomerID],A101)</f>
        <v>1</v>
      </c>
      <c r="D101" s="12">
        <f>SUMIF(Table1[CustomerID],A101,Table1[TransactionAmount])</f>
        <v>552.16999999999996</v>
      </c>
      <c r="E101" t="str">
        <f t="shared" si="8"/>
        <v>513</v>
      </c>
      <c r="F101" t="str">
        <f t="shared" si="9"/>
        <v>Potential Loyalists</v>
      </c>
      <c r="J101">
        <f t="shared" si="10"/>
        <v>5</v>
      </c>
      <c r="K101">
        <f t="shared" si="11"/>
        <v>1</v>
      </c>
      <c r="L101">
        <f t="shared" si="12"/>
        <v>3</v>
      </c>
    </row>
    <row r="102" spans="1:12" x14ac:dyDescent="0.35">
      <c r="A102">
        <v>2029</v>
      </c>
      <c r="B102" s="3">
        <f>H$6-_xlfn.MAXIFS(Table1[PurchaseDate],Table1[CustomerID],A102)</f>
        <v>53</v>
      </c>
      <c r="C102">
        <f>COUNTIF(Table1[CustomerID],A102)</f>
        <v>1</v>
      </c>
      <c r="D102" s="12">
        <f>SUMIF(Table1[CustomerID],A102,Table1[TransactionAmount])</f>
        <v>838.32</v>
      </c>
      <c r="E102" t="str">
        <f t="shared" si="8"/>
        <v>115</v>
      </c>
      <c r="F102" t="str">
        <f t="shared" si="9"/>
        <v>Needs Attention</v>
      </c>
      <c r="J102">
        <f t="shared" si="10"/>
        <v>1</v>
      </c>
      <c r="K102">
        <f t="shared" si="11"/>
        <v>1</v>
      </c>
      <c r="L102">
        <f t="shared" si="12"/>
        <v>5</v>
      </c>
    </row>
    <row r="103" spans="1:12" x14ac:dyDescent="0.35">
      <c r="A103">
        <v>2033</v>
      </c>
      <c r="B103" s="3">
        <f>H$6-_xlfn.MAXIFS(Table1[PurchaseDate],Table1[CustomerID],A103)</f>
        <v>15</v>
      </c>
      <c r="C103">
        <f>COUNTIF(Table1[CustomerID],A103)</f>
        <v>1</v>
      </c>
      <c r="D103" s="12">
        <f>SUMIF(Table1[CustomerID],A103,Table1[TransactionAmount])</f>
        <v>778.43</v>
      </c>
      <c r="E103" t="str">
        <f t="shared" si="8"/>
        <v>414</v>
      </c>
      <c r="F103" t="str">
        <f t="shared" si="9"/>
        <v>Potential Loyalists</v>
      </c>
      <c r="J103">
        <f t="shared" si="10"/>
        <v>4</v>
      </c>
      <c r="K103">
        <f t="shared" si="11"/>
        <v>1</v>
      </c>
      <c r="L103">
        <f t="shared" si="12"/>
        <v>4</v>
      </c>
    </row>
    <row r="104" spans="1:12" x14ac:dyDescent="0.35">
      <c r="A104">
        <v>2035</v>
      </c>
      <c r="B104" s="3">
        <f>H$6-_xlfn.MAXIFS(Table1[PurchaseDate],Table1[CustomerID],A104)</f>
        <v>20</v>
      </c>
      <c r="C104">
        <f>COUNTIF(Table1[CustomerID],A104)</f>
        <v>1</v>
      </c>
      <c r="D104" s="12">
        <f>SUMIF(Table1[CustomerID],A104,Table1[TransactionAmount])</f>
        <v>825.62</v>
      </c>
      <c r="E104" t="str">
        <f t="shared" si="8"/>
        <v>415</v>
      </c>
      <c r="F104" t="str">
        <f t="shared" si="9"/>
        <v>Potential Loyalists</v>
      </c>
      <c r="J104">
        <f t="shared" si="10"/>
        <v>4</v>
      </c>
      <c r="K104">
        <f t="shared" si="11"/>
        <v>1</v>
      </c>
      <c r="L104">
        <f t="shared" si="12"/>
        <v>5</v>
      </c>
    </row>
    <row r="105" spans="1:12" x14ac:dyDescent="0.35">
      <c r="A105">
        <v>2036</v>
      </c>
      <c r="B105" s="3">
        <f>H$6-_xlfn.MAXIFS(Table1[PurchaseDate],Table1[CustomerID],A105)</f>
        <v>12</v>
      </c>
      <c r="C105">
        <f>COUNTIF(Table1[CustomerID],A105)</f>
        <v>1</v>
      </c>
      <c r="D105" s="12">
        <f>SUMIF(Table1[CustomerID],A105,Table1[TransactionAmount])</f>
        <v>748.49</v>
      </c>
      <c r="E105" t="str">
        <f t="shared" si="8"/>
        <v>514</v>
      </c>
      <c r="F105" t="str">
        <f t="shared" si="9"/>
        <v>Potential Loyalists</v>
      </c>
      <c r="J105">
        <f t="shared" si="10"/>
        <v>5</v>
      </c>
      <c r="K105">
        <f t="shared" si="11"/>
        <v>1</v>
      </c>
      <c r="L105">
        <f t="shared" si="12"/>
        <v>4</v>
      </c>
    </row>
    <row r="106" spans="1:12" x14ac:dyDescent="0.35">
      <c r="A106">
        <v>2041</v>
      </c>
      <c r="B106" s="3">
        <f>H$6-_xlfn.MAXIFS(Table1[PurchaseDate],Table1[CustomerID],A106)</f>
        <v>30</v>
      </c>
      <c r="C106">
        <f>COUNTIF(Table1[CustomerID],A106)</f>
        <v>1</v>
      </c>
      <c r="D106" s="12">
        <f>SUMIF(Table1[CustomerID],A106,Table1[TransactionAmount])</f>
        <v>453.79</v>
      </c>
      <c r="E106" t="str">
        <f t="shared" si="8"/>
        <v>313</v>
      </c>
      <c r="F106" t="str">
        <f t="shared" si="9"/>
        <v>Potential Loyalists</v>
      </c>
      <c r="J106">
        <f t="shared" si="10"/>
        <v>3</v>
      </c>
      <c r="K106">
        <f t="shared" si="11"/>
        <v>1</v>
      </c>
      <c r="L106">
        <f t="shared" si="12"/>
        <v>3</v>
      </c>
    </row>
    <row r="107" spans="1:12" x14ac:dyDescent="0.35">
      <c r="A107">
        <v>2063</v>
      </c>
      <c r="B107" s="3">
        <f>H$6-_xlfn.MAXIFS(Table1[PurchaseDate],Table1[CustomerID],A107)</f>
        <v>25</v>
      </c>
      <c r="C107">
        <f>COUNTIF(Table1[CustomerID],A107)</f>
        <v>1</v>
      </c>
      <c r="D107" s="12">
        <f>SUMIF(Table1[CustomerID],A107,Table1[TransactionAmount])</f>
        <v>546.75</v>
      </c>
      <c r="E107" t="str">
        <f t="shared" si="8"/>
        <v>313</v>
      </c>
      <c r="F107" t="str">
        <f t="shared" si="9"/>
        <v>Potential Loyalists</v>
      </c>
      <c r="J107">
        <f t="shared" si="10"/>
        <v>3</v>
      </c>
      <c r="K107">
        <f t="shared" si="11"/>
        <v>1</v>
      </c>
      <c r="L107">
        <f t="shared" si="12"/>
        <v>3</v>
      </c>
    </row>
    <row r="108" spans="1:12" x14ac:dyDescent="0.35">
      <c r="A108">
        <v>2072</v>
      </c>
      <c r="B108" s="3">
        <f>H$6-_xlfn.MAXIFS(Table1[PurchaseDate],Table1[CustomerID],A108)</f>
        <v>47</v>
      </c>
      <c r="C108">
        <f>COUNTIF(Table1[CustomerID],A108)</f>
        <v>1</v>
      </c>
      <c r="D108" s="12">
        <f>SUMIF(Table1[CustomerID],A108,Table1[TransactionAmount])</f>
        <v>673.63</v>
      </c>
      <c r="E108" t="str">
        <f t="shared" si="8"/>
        <v>214</v>
      </c>
      <c r="F108" t="str">
        <f t="shared" si="9"/>
        <v>Needs Attention</v>
      </c>
      <c r="J108">
        <f t="shared" si="10"/>
        <v>2</v>
      </c>
      <c r="K108">
        <f t="shared" si="11"/>
        <v>1</v>
      </c>
      <c r="L108">
        <f t="shared" si="12"/>
        <v>4</v>
      </c>
    </row>
    <row r="109" spans="1:12" x14ac:dyDescent="0.35">
      <c r="A109">
        <v>2075</v>
      </c>
      <c r="B109" s="3">
        <f>H$6-_xlfn.MAXIFS(Table1[PurchaseDate],Table1[CustomerID],A109)</f>
        <v>41</v>
      </c>
      <c r="C109">
        <f>COUNTIF(Table1[CustomerID],A109)</f>
        <v>1</v>
      </c>
      <c r="D109" s="12">
        <f>SUMIF(Table1[CustomerID],A109,Table1[TransactionAmount])</f>
        <v>712.47</v>
      </c>
      <c r="E109" t="str">
        <f t="shared" si="8"/>
        <v>214</v>
      </c>
      <c r="F109" t="str">
        <f t="shared" si="9"/>
        <v>Needs Attention</v>
      </c>
      <c r="J109">
        <f t="shared" si="10"/>
        <v>2</v>
      </c>
      <c r="K109">
        <f t="shared" si="11"/>
        <v>1</v>
      </c>
      <c r="L109">
        <f t="shared" si="12"/>
        <v>4</v>
      </c>
    </row>
    <row r="110" spans="1:12" x14ac:dyDescent="0.35">
      <c r="A110">
        <v>2077</v>
      </c>
      <c r="B110" s="3">
        <f>H$6-_xlfn.MAXIFS(Table1[PurchaseDate],Table1[CustomerID],A110)</f>
        <v>41</v>
      </c>
      <c r="C110">
        <f>COUNTIF(Table1[CustomerID],A110)</f>
        <v>1</v>
      </c>
      <c r="D110" s="12">
        <f>SUMIF(Table1[CustomerID],A110,Table1[TransactionAmount])</f>
        <v>404.18</v>
      </c>
      <c r="E110" t="str">
        <f t="shared" si="8"/>
        <v>212</v>
      </c>
      <c r="F110" t="str">
        <f t="shared" si="9"/>
        <v>At Risk</v>
      </c>
      <c r="J110">
        <f t="shared" si="10"/>
        <v>2</v>
      </c>
      <c r="K110">
        <f t="shared" si="11"/>
        <v>1</v>
      </c>
      <c r="L110">
        <f t="shared" si="12"/>
        <v>2</v>
      </c>
    </row>
    <row r="111" spans="1:12" x14ac:dyDescent="0.35">
      <c r="A111">
        <v>2083</v>
      </c>
      <c r="B111" s="3">
        <f>H$6-_xlfn.MAXIFS(Table1[PurchaseDate],Table1[CustomerID],A111)</f>
        <v>49</v>
      </c>
      <c r="C111">
        <f>COUNTIF(Table1[CustomerID],A111)</f>
        <v>1</v>
      </c>
      <c r="D111" s="12">
        <f>SUMIF(Table1[CustomerID],A111,Table1[TransactionAmount])</f>
        <v>927.83</v>
      </c>
      <c r="E111" t="str">
        <f t="shared" si="8"/>
        <v>115</v>
      </c>
      <c r="F111" t="str">
        <f t="shared" si="9"/>
        <v>Needs Attention</v>
      </c>
      <c r="J111">
        <f t="shared" si="10"/>
        <v>1</v>
      </c>
      <c r="K111">
        <f t="shared" si="11"/>
        <v>1</v>
      </c>
      <c r="L111">
        <f t="shared" si="12"/>
        <v>5</v>
      </c>
    </row>
    <row r="112" spans="1:12" x14ac:dyDescent="0.35">
      <c r="A112">
        <v>2101</v>
      </c>
      <c r="B112" s="3">
        <f>H$6-_xlfn.MAXIFS(Table1[PurchaseDate],Table1[CustomerID],A112)</f>
        <v>45</v>
      </c>
      <c r="C112">
        <f>COUNTIF(Table1[CustomerID],A112)</f>
        <v>1</v>
      </c>
      <c r="D112" s="12">
        <f>SUMIF(Table1[CustomerID],A112,Table1[TransactionAmount])</f>
        <v>780.73</v>
      </c>
      <c r="E112" t="str">
        <f t="shared" si="8"/>
        <v>214</v>
      </c>
      <c r="F112" t="str">
        <f t="shared" si="9"/>
        <v>Needs Attention</v>
      </c>
      <c r="J112">
        <f t="shared" si="10"/>
        <v>2</v>
      </c>
      <c r="K112">
        <f t="shared" si="11"/>
        <v>1</v>
      </c>
      <c r="L112">
        <f t="shared" si="12"/>
        <v>4</v>
      </c>
    </row>
    <row r="113" spans="1:12" x14ac:dyDescent="0.35">
      <c r="A113">
        <v>2118</v>
      </c>
      <c r="B113" s="3">
        <f>H$6-_xlfn.MAXIFS(Table1[PurchaseDate],Table1[CustomerID],A113)</f>
        <v>30</v>
      </c>
      <c r="C113">
        <f>COUNTIF(Table1[CustomerID],A113)</f>
        <v>1</v>
      </c>
      <c r="D113" s="12">
        <f>SUMIF(Table1[CustomerID],A113,Table1[TransactionAmount])</f>
        <v>447.79</v>
      </c>
      <c r="E113" t="str">
        <f t="shared" si="8"/>
        <v>313</v>
      </c>
      <c r="F113" t="str">
        <f t="shared" si="9"/>
        <v>Potential Loyalists</v>
      </c>
      <c r="J113">
        <f t="shared" si="10"/>
        <v>3</v>
      </c>
      <c r="K113">
        <f t="shared" si="11"/>
        <v>1</v>
      </c>
      <c r="L113">
        <f t="shared" si="12"/>
        <v>3</v>
      </c>
    </row>
    <row r="114" spans="1:12" x14ac:dyDescent="0.35">
      <c r="A114">
        <v>2121</v>
      </c>
      <c r="B114" s="3">
        <f>H$6-_xlfn.MAXIFS(Table1[PurchaseDate],Table1[CustomerID],A114)</f>
        <v>49</v>
      </c>
      <c r="C114">
        <f>COUNTIF(Table1[CustomerID],A114)</f>
        <v>1</v>
      </c>
      <c r="D114" s="12">
        <f>SUMIF(Table1[CustomerID],A114,Table1[TransactionAmount])</f>
        <v>145.26</v>
      </c>
      <c r="E114" t="str">
        <f t="shared" si="8"/>
        <v>111</v>
      </c>
      <c r="F114" t="str">
        <f t="shared" si="9"/>
        <v>At Risk</v>
      </c>
      <c r="J114">
        <f t="shared" si="10"/>
        <v>1</v>
      </c>
      <c r="K114">
        <f t="shared" si="11"/>
        <v>1</v>
      </c>
      <c r="L114">
        <f t="shared" si="12"/>
        <v>1</v>
      </c>
    </row>
    <row r="115" spans="1:12" x14ac:dyDescent="0.35">
      <c r="A115">
        <v>2124</v>
      </c>
      <c r="B115" s="3">
        <f>H$6-_xlfn.MAXIFS(Table1[PurchaseDate],Table1[CustomerID],A115)</f>
        <v>11</v>
      </c>
      <c r="C115">
        <f>COUNTIF(Table1[CustomerID],A115)</f>
        <v>1</v>
      </c>
      <c r="D115" s="12">
        <f>SUMIF(Table1[CustomerID],A115,Table1[TransactionAmount])</f>
        <v>957.71</v>
      </c>
      <c r="E115" t="str">
        <f t="shared" si="8"/>
        <v>515</v>
      </c>
      <c r="F115" t="str">
        <f t="shared" si="9"/>
        <v>Potential Loyalists</v>
      </c>
      <c r="J115">
        <f t="shared" si="10"/>
        <v>5</v>
      </c>
      <c r="K115">
        <f t="shared" si="11"/>
        <v>1</v>
      </c>
      <c r="L115">
        <f t="shared" si="12"/>
        <v>5</v>
      </c>
    </row>
    <row r="116" spans="1:12" x14ac:dyDescent="0.35">
      <c r="A116">
        <v>2133</v>
      </c>
      <c r="B116" s="3">
        <f>H$6-_xlfn.MAXIFS(Table1[PurchaseDate],Table1[CustomerID],A116)</f>
        <v>8</v>
      </c>
      <c r="C116">
        <f>COUNTIF(Table1[CustomerID],A116)</f>
        <v>2</v>
      </c>
      <c r="D116" s="12">
        <f>SUMIF(Table1[CustomerID],A116,Table1[TransactionAmount])</f>
        <v>1386.69</v>
      </c>
      <c r="E116" t="str">
        <f t="shared" si="8"/>
        <v>535</v>
      </c>
      <c r="F116" t="str">
        <f t="shared" si="9"/>
        <v>Champions</v>
      </c>
      <c r="J116">
        <f t="shared" si="10"/>
        <v>5</v>
      </c>
      <c r="K116">
        <f t="shared" si="11"/>
        <v>3</v>
      </c>
      <c r="L116">
        <f t="shared" si="12"/>
        <v>5</v>
      </c>
    </row>
    <row r="117" spans="1:12" x14ac:dyDescent="0.35">
      <c r="A117">
        <v>2139</v>
      </c>
      <c r="B117" s="3">
        <f>H$6-_xlfn.MAXIFS(Table1[PurchaseDate],Table1[CustomerID],A117)</f>
        <v>58</v>
      </c>
      <c r="C117">
        <f>COUNTIF(Table1[CustomerID],A117)</f>
        <v>1</v>
      </c>
      <c r="D117" s="12">
        <f>SUMIF(Table1[CustomerID],A117,Table1[TransactionAmount])</f>
        <v>664.65</v>
      </c>
      <c r="E117" t="str">
        <f t="shared" si="8"/>
        <v>114</v>
      </c>
      <c r="F117" t="str">
        <f t="shared" si="9"/>
        <v>Needs Attention</v>
      </c>
      <c r="J117">
        <f t="shared" si="10"/>
        <v>1</v>
      </c>
      <c r="K117">
        <f t="shared" si="11"/>
        <v>1</v>
      </c>
      <c r="L117">
        <f t="shared" si="12"/>
        <v>4</v>
      </c>
    </row>
    <row r="118" spans="1:12" x14ac:dyDescent="0.35">
      <c r="A118">
        <v>2143</v>
      </c>
      <c r="B118" s="3">
        <f>H$6-_xlfn.MAXIFS(Table1[PurchaseDate],Table1[CustomerID],A118)</f>
        <v>3</v>
      </c>
      <c r="C118">
        <f>COUNTIF(Table1[CustomerID],A118)</f>
        <v>1</v>
      </c>
      <c r="D118" s="12">
        <f>SUMIF(Table1[CustomerID],A118,Table1[TransactionAmount])</f>
        <v>201.56</v>
      </c>
      <c r="E118" t="str">
        <f t="shared" si="8"/>
        <v>511</v>
      </c>
      <c r="F118" t="str">
        <f t="shared" si="9"/>
        <v>Needs Attention</v>
      </c>
      <c r="J118">
        <f t="shared" si="10"/>
        <v>5</v>
      </c>
      <c r="K118">
        <f t="shared" si="11"/>
        <v>1</v>
      </c>
      <c r="L118">
        <f t="shared" si="12"/>
        <v>1</v>
      </c>
    </row>
    <row r="119" spans="1:12" x14ac:dyDescent="0.35">
      <c r="A119">
        <v>2153</v>
      </c>
      <c r="B119" s="3">
        <f>H$6-_xlfn.MAXIFS(Table1[PurchaseDate],Table1[CustomerID],A119)</f>
        <v>7</v>
      </c>
      <c r="C119">
        <f>COUNTIF(Table1[CustomerID],A119)</f>
        <v>1</v>
      </c>
      <c r="D119" s="12">
        <f>SUMIF(Table1[CustomerID],A119,Table1[TransactionAmount])</f>
        <v>310.87</v>
      </c>
      <c r="E119" t="str">
        <f t="shared" si="8"/>
        <v>512</v>
      </c>
      <c r="F119" t="str">
        <f t="shared" si="9"/>
        <v>Needs Attention</v>
      </c>
      <c r="J119">
        <f t="shared" si="10"/>
        <v>5</v>
      </c>
      <c r="K119">
        <f t="shared" si="11"/>
        <v>1</v>
      </c>
      <c r="L119">
        <f t="shared" si="12"/>
        <v>2</v>
      </c>
    </row>
    <row r="120" spans="1:12" x14ac:dyDescent="0.35">
      <c r="A120">
        <v>2169</v>
      </c>
      <c r="B120" s="3">
        <f>H$6-_xlfn.MAXIFS(Table1[PurchaseDate],Table1[CustomerID],A120)</f>
        <v>57</v>
      </c>
      <c r="C120">
        <f>COUNTIF(Table1[CustomerID],A120)</f>
        <v>1</v>
      </c>
      <c r="D120" s="12">
        <f>SUMIF(Table1[CustomerID],A120,Table1[TransactionAmount])</f>
        <v>174.26</v>
      </c>
      <c r="E120" t="str">
        <f t="shared" si="8"/>
        <v>111</v>
      </c>
      <c r="F120" t="str">
        <f t="shared" si="9"/>
        <v>At Risk</v>
      </c>
      <c r="J120">
        <f t="shared" si="10"/>
        <v>1</v>
      </c>
      <c r="K120">
        <f t="shared" si="11"/>
        <v>1</v>
      </c>
      <c r="L120">
        <f t="shared" si="12"/>
        <v>1</v>
      </c>
    </row>
    <row r="121" spans="1:12" x14ac:dyDescent="0.35">
      <c r="A121">
        <v>2180</v>
      </c>
      <c r="B121" s="3">
        <f>H$6-_xlfn.MAXIFS(Table1[PurchaseDate],Table1[CustomerID],A121)</f>
        <v>35</v>
      </c>
      <c r="C121">
        <f>COUNTIF(Table1[CustomerID],A121)</f>
        <v>1</v>
      </c>
      <c r="D121" s="12">
        <f>SUMIF(Table1[CustomerID],A121,Table1[TransactionAmount])</f>
        <v>863.15</v>
      </c>
      <c r="E121" t="str">
        <f t="shared" si="8"/>
        <v>315</v>
      </c>
      <c r="F121" t="str">
        <f t="shared" si="9"/>
        <v>Potential Loyalists</v>
      </c>
      <c r="J121">
        <f t="shared" si="10"/>
        <v>3</v>
      </c>
      <c r="K121">
        <f t="shared" si="11"/>
        <v>1</v>
      </c>
      <c r="L121">
        <f t="shared" si="12"/>
        <v>5</v>
      </c>
    </row>
    <row r="122" spans="1:12" x14ac:dyDescent="0.35">
      <c r="A122">
        <v>2188</v>
      </c>
      <c r="B122" s="3">
        <f>H$6-_xlfn.MAXIFS(Table1[PurchaseDate],Table1[CustomerID],A122)</f>
        <v>60</v>
      </c>
      <c r="C122">
        <f>COUNTIF(Table1[CustomerID],A122)</f>
        <v>1</v>
      </c>
      <c r="D122" s="12">
        <f>SUMIF(Table1[CustomerID],A122,Table1[TransactionAmount])</f>
        <v>463.7</v>
      </c>
      <c r="E122" t="str">
        <f t="shared" si="8"/>
        <v>113</v>
      </c>
      <c r="F122" t="str">
        <f t="shared" si="9"/>
        <v>Needs Attention</v>
      </c>
      <c r="J122">
        <f t="shared" si="10"/>
        <v>1</v>
      </c>
      <c r="K122">
        <f t="shared" si="11"/>
        <v>1</v>
      </c>
      <c r="L122">
        <f t="shared" si="12"/>
        <v>3</v>
      </c>
    </row>
    <row r="123" spans="1:12" x14ac:dyDescent="0.35">
      <c r="A123">
        <v>2194</v>
      </c>
      <c r="B123" s="3">
        <f>H$6-_xlfn.MAXIFS(Table1[PurchaseDate],Table1[CustomerID],A123)</f>
        <v>10</v>
      </c>
      <c r="C123">
        <f>COUNTIF(Table1[CustomerID],A123)</f>
        <v>1</v>
      </c>
      <c r="D123" s="12">
        <f>SUMIF(Table1[CustomerID],A123,Table1[TransactionAmount])</f>
        <v>710.6</v>
      </c>
      <c r="E123" t="str">
        <f t="shared" si="8"/>
        <v>514</v>
      </c>
      <c r="F123" t="str">
        <f t="shared" si="9"/>
        <v>Potential Loyalists</v>
      </c>
      <c r="J123">
        <f t="shared" si="10"/>
        <v>5</v>
      </c>
      <c r="K123">
        <f t="shared" si="11"/>
        <v>1</v>
      </c>
      <c r="L123">
        <f t="shared" si="12"/>
        <v>4</v>
      </c>
    </row>
    <row r="124" spans="1:12" x14ac:dyDescent="0.35">
      <c r="A124">
        <v>2195</v>
      </c>
      <c r="B124" s="3">
        <f>H$6-_xlfn.MAXIFS(Table1[PurchaseDate],Table1[CustomerID],A124)</f>
        <v>16</v>
      </c>
      <c r="C124">
        <f>COUNTIF(Table1[CustomerID],A124)</f>
        <v>1</v>
      </c>
      <c r="D124" s="12">
        <f>SUMIF(Table1[CustomerID],A124,Table1[TransactionAmount])</f>
        <v>69.31</v>
      </c>
      <c r="E124" t="str">
        <f t="shared" si="8"/>
        <v>411</v>
      </c>
      <c r="F124" t="str">
        <f t="shared" si="9"/>
        <v>Needs Attention</v>
      </c>
      <c r="J124">
        <f t="shared" si="10"/>
        <v>4</v>
      </c>
      <c r="K124">
        <f t="shared" si="11"/>
        <v>1</v>
      </c>
      <c r="L124">
        <f t="shared" si="12"/>
        <v>1</v>
      </c>
    </row>
    <row r="125" spans="1:12" x14ac:dyDescent="0.35">
      <c r="A125">
        <v>2200</v>
      </c>
      <c r="B125" s="3">
        <f>H$6-_xlfn.MAXIFS(Table1[PurchaseDate],Table1[CustomerID],A125)</f>
        <v>57</v>
      </c>
      <c r="C125">
        <f>COUNTIF(Table1[CustomerID],A125)</f>
        <v>1</v>
      </c>
      <c r="D125" s="12">
        <f>SUMIF(Table1[CustomerID],A125,Table1[TransactionAmount])</f>
        <v>186.21</v>
      </c>
      <c r="E125" t="str">
        <f t="shared" si="8"/>
        <v>111</v>
      </c>
      <c r="F125" t="str">
        <f t="shared" si="9"/>
        <v>At Risk</v>
      </c>
      <c r="J125">
        <f t="shared" si="10"/>
        <v>1</v>
      </c>
      <c r="K125">
        <f t="shared" si="11"/>
        <v>1</v>
      </c>
      <c r="L125">
        <f t="shared" si="12"/>
        <v>1</v>
      </c>
    </row>
    <row r="126" spans="1:12" x14ac:dyDescent="0.35">
      <c r="A126">
        <v>2228</v>
      </c>
      <c r="B126" s="3">
        <f>H$6-_xlfn.MAXIFS(Table1[PurchaseDate],Table1[CustomerID],A126)</f>
        <v>59</v>
      </c>
      <c r="C126">
        <f>COUNTIF(Table1[CustomerID],A126)</f>
        <v>1</v>
      </c>
      <c r="D126" s="12">
        <f>SUMIF(Table1[CustomerID],A126,Table1[TransactionAmount])</f>
        <v>997.19</v>
      </c>
      <c r="E126" t="str">
        <f t="shared" si="8"/>
        <v>115</v>
      </c>
      <c r="F126" t="str">
        <f t="shared" si="9"/>
        <v>Needs Attention</v>
      </c>
      <c r="J126">
        <f t="shared" si="10"/>
        <v>1</v>
      </c>
      <c r="K126">
        <f t="shared" si="11"/>
        <v>1</v>
      </c>
      <c r="L126">
        <f t="shared" si="12"/>
        <v>5</v>
      </c>
    </row>
    <row r="127" spans="1:12" x14ac:dyDescent="0.35">
      <c r="A127">
        <v>2229</v>
      </c>
      <c r="B127" s="3">
        <f>H$6-_xlfn.MAXIFS(Table1[PurchaseDate],Table1[CustomerID],A127)</f>
        <v>18</v>
      </c>
      <c r="C127">
        <f>COUNTIF(Table1[CustomerID],A127)</f>
        <v>1</v>
      </c>
      <c r="D127" s="12">
        <f>SUMIF(Table1[CustomerID],A127,Table1[TransactionAmount])</f>
        <v>641.14</v>
      </c>
      <c r="E127" t="str">
        <f t="shared" si="8"/>
        <v>413</v>
      </c>
      <c r="F127" t="str">
        <f t="shared" si="9"/>
        <v>Potential Loyalists</v>
      </c>
      <c r="J127">
        <f t="shared" si="10"/>
        <v>4</v>
      </c>
      <c r="K127">
        <f t="shared" si="11"/>
        <v>1</v>
      </c>
      <c r="L127">
        <f t="shared" si="12"/>
        <v>3</v>
      </c>
    </row>
    <row r="128" spans="1:12" x14ac:dyDescent="0.35">
      <c r="A128">
        <v>2234</v>
      </c>
      <c r="B128" s="3">
        <f>H$6-_xlfn.MAXIFS(Table1[PurchaseDate],Table1[CustomerID],A128)</f>
        <v>49</v>
      </c>
      <c r="C128">
        <f>COUNTIF(Table1[CustomerID],A128)</f>
        <v>1</v>
      </c>
      <c r="D128" s="12">
        <f>SUMIF(Table1[CustomerID],A128,Table1[TransactionAmount])</f>
        <v>951.78</v>
      </c>
      <c r="E128" t="str">
        <f t="shared" si="8"/>
        <v>115</v>
      </c>
      <c r="F128" t="str">
        <f t="shared" si="9"/>
        <v>Needs Attention</v>
      </c>
      <c r="J128">
        <f t="shared" si="10"/>
        <v>1</v>
      </c>
      <c r="K128">
        <f t="shared" si="11"/>
        <v>1</v>
      </c>
      <c r="L128">
        <f t="shared" si="12"/>
        <v>5</v>
      </c>
    </row>
    <row r="129" spans="1:12" x14ac:dyDescent="0.35">
      <c r="A129">
        <v>2263</v>
      </c>
      <c r="B129" s="3">
        <f>H$6-_xlfn.MAXIFS(Table1[PurchaseDate],Table1[CustomerID],A129)</f>
        <v>28</v>
      </c>
      <c r="C129">
        <f>COUNTIF(Table1[CustomerID],A129)</f>
        <v>1</v>
      </c>
      <c r="D129" s="12">
        <f>SUMIF(Table1[CustomerID],A129,Table1[TransactionAmount])</f>
        <v>647.04</v>
      </c>
      <c r="E129" t="str">
        <f t="shared" si="8"/>
        <v>314</v>
      </c>
      <c r="F129" t="str">
        <f t="shared" si="9"/>
        <v>Potential Loyalists</v>
      </c>
      <c r="J129">
        <f t="shared" si="10"/>
        <v>3</v>
      </c>
      <c r="K129">
        <f t="shared" si="11"/>
        <v>1</v>
      </c>
      <c r="L129">
        <f t="shared" si="12"/>
        <v>4</v>
      </c>
    </row>
    <row r="130" spans="1:12" x14ac:dyDescent="0.35">
      <c r="A130">
        <v>2291</v>
      </c>
      <c r="B130" s="3">
        <f>H$6-_xlfn.MAXIFS(Table1[PurchaseDate],Table1[CustomerID],A130)</f>
        <v>31</v>
      </c>
      <c r="C130">
        <f>COUNTIF(Table1[CustomerID],A130)</f>
        <v>1</v>
      </c>
      <c r="D130" s="12">
        <f>SUMIF(Table1[CustomerID],A130,Table1[TransactionAmount])</f>
        <v>449.75</v>
      </c>
      <c r="E130" t="str">
        <f t="shared" si="8"/>
        <v>313</v>
      </c>
      <c r="F130" t="str">
        <f t="shared" si="9"/>
        <v>Potential Loyalists</v>
      </c>
      <c r="J130">
        <f t="shared" si="10"/>
        <v>3</v>
      </c>
      <c r="K130">
        <f t="shared" si="11"/>
        <v>1</v>
      </c>
      <c r="L130">
        <f t="shared" si="12"/>
        <v>3</v>
      </c>
    </row>
    <row r="131" spans="1:12" x14ac:dyDescent="0.35">
      <c r="A131">
        <v>2293</v>
      </c>
      <c r="B131" s="3">
        <f>H$6-_xlfn.MAXIFS(Table1[PurchaseDate],Table1[CustomerID],A131)</f>
        <v>21</v>
      </c>
      <c r="C131">
        <f>COUNTIF(Table1[CustomerID],A131)</f>
        <v>1</v>
      </c>
      <c r="D131" s="12">
        <f>SUMIF(Table1[CustomerID],A131,Table1[TransactionAmount])</f>
        <v>872.13</v>
      </c>
      <c r="E131" t="str">
        <f t="shared" si="8"/>
        <v>415</v>
      </c>
      <c r="F131" t="str">
        <f t="shared" si="9"/>
        <v>Potential Loyalists</v>
      </c>
      <c r="J131">
        <f t="shared" si="10"/>
        <v>4</v>
      </c>
      <c r="K131">
        <f t="shared" si="11"/>
        <v>1</v>
      </c>
      <c r="L131">
        <f t="shared" si="12"/>
        <v>5</v>
      </c>
    </row>
    <row r="132" spans="1:12" x14ac:dyDescent="0.35">
      <c r="A132">
        <v>2294</v>
      </c>
      <c r="B132" s="3">
        <f>H$6-_xlfn.MAXIFS(Table1[PurchaseDate],Table1[CustomerID],A132)</f>
        <v>37</v>
      </c>
      <c r="C132">
        <f>COUNTIF(Table1[CustomerID],A132)</f>
        <v>1</v>
      </c>
      <c r="D132" s="12">
        <f>SUMIF(Table1[CustomerID],A132,Table1[TransactionAmount])</f>
        <v>959.7</v>
      </c>
      <c r="E132" t="str">
        <f t="shared" ref="E132:E195" si="13">J132&amp;K132&amp;L132</f>
        <v>315</v>
      </c>
      <c r="F132" t="str">
        <f t="shared" ref="F132:F195" si="14">IF(AND(J132&gt;=4,K132&gt;=3,L132&gt;=4),"Champions",IF(AND(J132&gt;=3,K132&gt;=2,L132&gt;=3),"Loyal Customers",IF(AND(J132&gt;=3,L132&gt;=3),"Potential Loyalists",IF(AND(J132&lt;=2,L132&lt;=2),"At Risk","Needs Attention"))))</f>
        <v>Potential Loyalists</v>
      </c>
      <c r="J132">
        <f t="shared" ref="J132:J195" si="15">ROUNDUP((COUNT($B$3:$B$948)-_xlfn.RANK.EQ(B132,$B$3:$B$948,1)+1)/COUNT($B$3:$B$948)*5,0)</f>
        <v>3</v>
      </c>
      <c r="K132">
        <f t="shared" ref="K132:K195" si="16">IF(C132=1,1,IF(C132=2,3,IF(C132=3,4,5)))</f>
        <v>1</v>
      </c>
      <c r="L132">
        <f t="shared" ref="L132:L195" si="17">IF(D132&gt;=_xlfn.PERCENTILE.INC($D$3:$D$948,0.8),5,IF(D132&gt;=_xlfn.PERCENTILE.INC($D$3:$D$948,0.6),4,IF(D132&gt;=_xlfn.PERCENTILE.INC($D$3:$D$948,0.4),3,IF(D132&gt;=_xlfn.PERCENTILE.INC($D$3:$D$948,0.2),2,1))))</f>
        <v>5</v>
      </c>
    </row>
    <row r="133" spans="1:12" x14ac:dyDescent="0.35">
      <c r="A133">
        <v>2296</v>
      </c>
      <c r="B133" s="3">
        <f>H$6-_xlfn.MAXIFS(Table1[PurchaseDate],Table1[CustomerID],A133)</f>
        <v>50</v>
      </c>
      <c r="C133">
        <f>COUNTIF(Table1[CustomerID],A133)</f>
        <v>1</v>
      </c>
      <c r="D133" s="12">
        <f>SUMIF(Table1[CustomerID],A133,Table1[TransactionAmount])</f>
        <v>350.19</v>
      </c>
      <c r="E133" t="str">
        <f t="shared" si="13"/>
        <v>112</v>
      </c>
      <c r="F133" t="str">
        <f t="shared" si="14"/>
        <v>At Risk</v>
      </c>
      <c r="J133">
        <f t="shared" si="15"/>
        <v>1</v>
      </c>
      <c r="K133">
        <f t="shared" si="16"/>
        <v>1</v>
      </c>
      <c r="L133">
        <f t="shared" si="17"/>
        <v>2</v>
      </c>
    </row>
    <row r="134" spans="1:12" x14ac:dyDescent="0.35">
      <c r="A134">
        <v>2310</v>
      </c>
      <c r="B134" s="3">
        <f>H$6-_xlfn.MAXIFS(Table1[PurchaseDate],Table1[CustomerID],A134)</f>
        <v>31</v>
      </c>
      <c r="C134">
        <f>COUNTIF(Table1[CustomerID],A134)</f>
        <v>1</v>
      </c>
      <c r="D134" s="12">
        <f>SUMIF(Table1[CustomerID],A134,Table1[TransactionAmount])</f>
        <v>803.01</v>
      </c>
      <c r="E134" t="str">
        <f t="shared" si="13"/>
        <v>314</v>
      </c>
      <c r="F134" t="str">
        <f t="shared" si="14"/>
        <v>Potential Loyalists</v>
      </c>
      <c r="J134">
        <f t="shared" si="15"/>
        <v>3</v>
      </c>
      <c r="K134">
        <f t="shared" si="16"/>
        <v>1</v>
      </c>
      <c r="L134">
        <f t="shared" si="17"/>
        <v>4</v>
      </c>
    </row>
    <row r="135" spans="1:12" x14ac:dyDescent="0.35">
      <c r="A135">
        <v>2336</v>
      </c>
      <c r="B135" s="3">
        <f>H$6-_xlfn.MAXIFS(Table1[PurchaseDate],Table1[CustomerID],A135)</f>
        <v>43</v>
      </c>
      <c r="C135">
        <f>COUNTIF(Table1[CustomerID],A135)</f>
        <v>1</v>
      </c>
      <c r="D135" s="12">
        <f>SUMIF(Table1[CustomerID],A135,Table1[TransactionAmount])</f>
        <v>448.68</v>
      </c>
      <c r="E135" t="str">
        <f t="shared" si="13"/>
        <v>213</v>
      </c>
      <c r="F135" t="str">
        <f t="shared" si="14"/>
        <v>Needs Attention</v>
      </c>
      <c r="J135">
        <f t="shared" si="15"/>
        <v>2</v>
      </c>
      <c r="K135">
        <f t="shared" si="16"/>
        <v>1</v>
      </c>
      <c r="L135">
        <f t="shared" si="17"/>
        <v>3</v>
      </c>
    </row>
    <row r="136" spans="1:12" x14ac:dyDescent="0.35">
      <c r="A136">
        <v>2337</v>
      </c>
      <c r="B136" s="3">
        <f>H$6-_xlfn.MAXIFS(Table1[PurchaseDate],Table1[CustomerID],A136)</f>
        <v>37</v>
      </c>
      <c r="C136">
        <f>COUNTIF(Table1[CustomerID],A136)</f>
        <v>1</v>
      </c>
      <c r="D136" s="12">
        <f>SUMIF(Table1[CustomerID],A136,Table1[TransactionAmount])</f>
        <v>232.29</v>
      </c>
      <c r="E136" t="str">
        <f t="shared" si="13"/>
        <v>312</v>
      </c>
      <c r="F136" t="str">
        <f t="shared" si="14"/>
        <v>Needs Attention</v>
      </c>
      <c r="J136">
        <f t="shared" si="15"/>
        <v>3</v>
      </c>
      <c r="K136">
        <f t="shared" si="16"/>
        <v>1</v>
      </c>
      <c r="L136">
        <f t="shared" si="17"/>
        <v>2</v>
      </c>
    </row>
    <row r="137" spans="1:12" x14ac:dyDescent="0.35">
      <c r="A137">
        <v>2341</v>
      </c>
      <c r="B137" s="3">
        <f>H$6-_xlfn.MAXIFS(Table1[PurchaseDate],Table1[CustomerID],A137)</f>
        <v>27</v>
      </c>
      <c r="C137">
        <f>COUNTIF(Table1[CustomerID],A137)</f>
        <v>1</v>
      </c>
      <c r="D137" s="12">
        <f>SUMIF(Table1[CustomerID],A137,Table1[TransactionAmount])</f>
        <v>452.28</v>
      </c>
      <c r="E137" t="str">
        <f t="shared" si="13"/>
        <v>313</v>
      </c>
      <c r="F137" t="str">
        <f t="shared" si="14"/>
        <v>Potential Loyalists</v>
      </c>
      <c r="J137">
        <f t="shared" si="15"/>
        <v>3</v>
      </c>
      <c r="K137">
        <f t="shared" si="16"/>
        <v>1</v>
      </c>
      <c r="L137">
        <f t="shared" si="17"/>
        <v>3</v>
      </c>
    </row>
    <row r="138" spans="1:12" x14ac:dyDescent="0.35">
      <c r="A138">
        <v>2342</v>
      </c>
      <c r="B138" s="3">
        <f>H$6-_xlfn.MAXIFS(Table1[PurchaseDate],Table1[CustomerID],A138)</f>
        <v>30</v>
      </c>
      <c r="C138">
        <f>COUNTIF(Table1[CustomerID],A138)</f>
        <v>1</v>
      </c>
      <c r="D138" s="12">
        <f>SUMIF(Table1[CustomerID],A138,Table1[TransactionAmount])</f>
        <v>845.33</v>
      </c>
      <c r="E138" t="str">
        <f t="shared" si="13"/>
        <v>315</v>
      </c>
      <c r="F138" t="str">
        <f t="shared" si="14"/>
        <v>Potential Loyalists</v>
      </c>
      <c r="J138">
        <f t="shared" si="15"/>
        <v>3</v>
      </c>
      <c r="K138">
        <f t="shared" si="16"/>
        <v>1</v>
      </c>
      <c r="L138">
        <f t="shared" si="17"/>
        <v>5</v>
      </c>
    </row>
    <row r="139" spans="1:12" x14ac:dyDescent="0.35">
      <c r="A139">
        <v>2344</v>
      </c>
      <c r="B139" s="3">
        <f>H$6-_xlfn.MAXIFS(Table1[PurchaseDate],Table1[CustomerID],A139)</f>
        <v>43</v>
      </c>
      <c r="C139">
        <f>COUNTIF(Table1[CustomerID],A139)</f>
        <v>1</v>
      </c>
      <c r="D139" s="12">
        <f>SUMIF(Table1[CustomerID],A139,Table1[TransactionAmount])</f>
        <v>162.68</v>
      </c>
      <c r="E139" t="str">
        <f t="shared" si="13"/>
        <v>211</v>
      </c>
      <c r="F139" t="str">
        <f t="shared" si="14"/>
        <v>At Risk</v>
      </c>
      <c r="J139">
        <f t="shared" si="15"/>
        <v>2</v>
      </c>
      <c r="K139">
        <f t="shared" si="16"/>
        <v>1</v>
      </c>
      <c r="L139">
        <f t="shared" si="17"/>
        <v>1</v>
      </c>
    </row>
    <row r="140" spans="1:12" x14ac:dyDescent="0.35">
      <c r="A140">
        <v>2389</v>
      </c>
      <c r="B140" s="3">
        <f>H$6-_xlfn.MAXIFS(Table1[PurchaseDate],Table1[CustomerID],A140)</f>
        <v>42</v>
      </c>
      <c r="C140">
        <f>COUNTIF(Table1[CustomerID],A140)</f>
        <v>1</v>
      </c>
      <c r="D140" s="12">
        <f>SUMIF(Table1[CustomerID],A140,Table1[TransactionAmount])</f>
        <v>520.29999999999995</v>
      </c>
      <c r="E140" t="str">
        <f t="shared" si="13"/>
        <v>213</v>
      </c>
      <c r="F140" t="str">
        <f t="shared" si="14"/>
        <v>Needs Attention</v>
      </c>
      <c r="J140">
        <f t="shared" si="15"/>
        <v>2</v>
      </c>
      <c r="K140">
        <f t="shared" si="16"/>
        <v>1</v>
      </c>
      <c r="L140">
        <f t="shared" si="17"/>
        <v>3</v>
      </c>
    </row>
    <row r="141" spans="1:12" x14ac:dyDescent="0.35">
      <c r="A141">
        <v>2391</v>
      </c>
      <c r="B141" s="3">
        <f>H$6-_xlfn.MAXIFS(Table1[PurchaseDate],Table1[CustomerID],A141)</f>
        <v>4</v>
      </c>
      <c r="C141">
        <f>COUNTIF(Table1[CustomerID],A141)</f>
        <v>1</v>
      </c>
      <c r="D141" s="12">
        <f>SUMIF(Table1[CustomerID],A141,Table1[TransactionAmount])</f>
        <v>62.08</v>
      </c>
      <c r="E141" t="str">
        <f t="shared" si="13"/>
        <v>511</v>
      </c>
      <c r="F141" t="str">
        <f t="shared" si="14"/>
        <v>Needs Attention</v>
      </c>
      <c r="J141">
        <f t="shared" si="15"/>
        <v>5</v>
      </c>
      <c r="K141">
        <f t="shared" si="16"/>
        <v>1</v>
      </c>
      <c r="L141">
        <f t="shared" si="17"/>
        <v>1</v>
      </c>
    </row>
    <row r="142" spans="1:12" x14ac:dyDescent="0.35">
      <c r="A142">
        <v>2404</v>
      </c>
      <c r="B142" s="3">
        <f>H$6-_xlfn.MAXIFS(Table1[PurchaseDate],Table1[CustomerID],A142)</f>
        <v>11</v>
      </c>
      <c r="C142">
        <f>COUNTIF(Table1[CustomerID],A142)</f>
        <v>1</v>
      </c>
      <c r="D142" s="12">
        <f>SUMIF(Table1[CustomerID],A142,Table1[TransactionAmount])</f>
        <v>622.42999999999995</v>
      </c>
      <c r="E142" t="str">
        <f t="shared" si="13"/>
        <v>513</v>
      </c>
      <c r="F142" t="str">
        <f t="shared" si="14"/>
        <v>Potential Loyalists</v>
      </c>
      <c r="J142">
        <f t="shared" si="15"/>
        <v>5</v>
      </c>
      <c r="K142">
        <f t="shared" si="16"/>
        <v>1</v>
      </c>
      <c r="L142">
        <f t="shared" si="17"/>
        <v>3</v>
      </c>
    </row>
    <row r="143" spans="1:12" x14ac:dyDescent="0.35">
      <c r="A143">
        <v>2417</v>
      </c>
      <c r="B143" s="3">
        <f>H$6-_xlfn.MAXIFS(Table1[PurchaseDate],Table1[CustomerID],A143)</f>
        <v>42</v>
      </c>
      <c r="C143">
        <f>COUNTIF(Table1[CustomerID],A143)</f>
        <v>1</v>
      </c>
      <c r="D143" s="12">
        <f>SUMIF(Table1[CustomerID],A143,Table1[TransactionAmount])</f>
        <v>767.62</v>
      </c>
      <c r="E143" t="str">
        <f t="shared" si="13"/>
        <v>214</v>
      </c>
      <c r="F143" t="str">
        <f t="shared" si="14"/>
        <v>Needs Attention</v>
      </c>
      <c r="J143">
        <f t="shared" si="15"/>
        <v>2</v>
      </c>
      <c r="K143">
        <f t="shared" si="16"/>
        <v>1</v>
      </c>
      <c r="L143">
        <f t="shared" si="17"/>
        <v>4</v>
      </c>
    </row>
    <row r="144" spans="1:12" x14ac:dyDescent="0.35">
      <c r="A144">
        <v>2419</v>
      </c>
      <c r="B144" s="3">
        <f>H$6-_xlfn.MAXIFS(Table1[PurchaseDate],Table1[CustomerID],A144)</f>
        <v>43</v>
      </c>
      <c r="C144">
        <f>COUNTIF(Table1[CustomerID],A144)</f>
        <v>1</v>
      </c>
      <c r="D144" s="12">
        <f>SUMIF(Table1[CustomerID],A144,Table1[TransactionAmount])</f>
        <v>882.81</v>
      </c>
      <c r="E144" t="str">
        <f t="shared" si="13"/>
        <v>215</v>
      </c>
      <c r="F144" t="str">
        <f t="shared" si="14"/>
        <v>Needs Attention</v>
      </c>
      <c r="J144">
        <f t="shared" si="15"/>
        <v>2</v>
      </c>
      <c r="K144">
        <f t="shared" si="16"/>
        <v>1</v>
      </c>
      <c r="L144">
        <f t="shared" si="17"/>
        <v>5</v>
      </c>
    </row>
    <row r="145" spans="1:12" x14ac:dyDescent="0.35">
      <c r="A145">
        <v>2425</v>
      </c>
      <c r="B145" s="3">
        <f>H$6-_xlfn.MAXIFS(Table1[PurchaseDate],Table1[CustomerID],A145)</f>
        <v>36</v>
      </c>
      <c r="C145">
        <f>COUNTIF(Table1[CustomerID],A145)</f>
        <v>1</v>
      </c>
      <c r="D145" s="12">
        <f>SUMIF(Table1[CustomerID],A145,Table1[TransactionAmount])</f>
        <v>560.79999999999995</v>
      </c>
      <c r="E145" t="str">
        <f t="shared" si="13"/>
        <v>313</v>
      </c>
      <c r="F145" t="str">
        <f t="shared" si="14"/>
        <v>Potential Loyalists</v>
      </c>
      <c r="J145">
        <f t="shared" si="15"/>
        <v>3</v>
      </c>
      <c r="K145">
        <f t="shared" si="16"/>
        <v>1</v>
      </c>
      <c r="L145">
        <f t="shared" si="17"/>
        <v>3</v>
      </c>
    </row>
    <row r="146" spans="1:12" x14ac:dyDescent="0.35">
      <c r="A146">
        <v>2438</v>
      </c>
      <c r="B146" s="3">
        <f>H$6-_xlfn.MAXIFS(Table1[PurchaseDate],Table1[CustomerID],A146)</f>
        <v>14</v>
      </c>
      <c r="C146">
        <f>COUNTIF(Table1[CustomerID],A146)</f>
        <v>1</v>
      </c>
      <c r="D146" s="12">
        <f>SUMIF(Table1[CustomerID],A146,Table1[TransactionAmount])</f>
        <v>388.39</v>
      </c>
      <c r="E146" t="str">
        <f t="shared" si="13"/>
        <v>412</v>
      </c>
      <c r="F146" t="str">
        <f t="shared" si="14"/>
        <v>Needs Attention</v>
      </c>
      <c r="J146">
        <f t="shared" si="15"/>
        <v>4</v>
      </c>
      <c r="K146">
        <f t="shared" si="16"/>
        <v>1</v>
      </c>
      <c r="L146">
        <f t="shared" si="17"/>
        <v>2</v>
      </c>
    </row>
    <row r="147" spans="1:12" x14ac:dyDescent="0.35">
      <c r="A147">
        <v>2443</v>
      </c>
      <c r="B147" s="3">
        <f>H$6-_xlfn.MAXIFS(Table1[PurchaseDate],Table1[CustomerID],A147)</f>
        <v>33</v>
      </c>
      <c r="C147">
        <f>COUNTIF(Table1[CustomerID],A147)</f>
        <v>1</v>
      </c>
      <c r="D147" s="12">
        <f>SUMIF(Table1[CustomerID],A147,Table1[TransactionAmount])</f>
        <v>846.04</v>
      </c>
      <c r="E147" t="str">
        <f t="shared" si="13"/>
        <v>315</v>
      </c>
      <c r="F147" t="str">
        <f t="shared" si="14"/>
        <v>Potential Loyalists</v>
      </c>
      <c r="J147">
        <f t="shared" si="15"/>
        <v>3</v>
      </c>
      <c r="K147">
        <f t="shared" si="16"/>
        <v>1</v>
      </c>
      <c r="L147">
        <f t="shared" si="17"/>
        <v>5</v>
      </c>
    </row>
    <row r="148" spans="1:12" x14ac:dyDescent="0.35">
      <c r="A148">
        <v>2444</v>
      </c>
      <c r="B148" s="3">
        <f>H$6-_xlfn.MAXIFS(Table1[PurchaseDate],Table1[CustomerID],A148)</f>
        <v>56</v>
      </c>
      <c r="C148">
        <f>COUNTIF(Table1[CustomerID],A148)</f>
        <v>1</v>
      </c>
      <c r="D148" s="12">
        <f>SUMIF(Table1[CustomerID],A148,Table1[TransactionAmount])</f>
        <v>270.45999999999998</v>
      </c>
      <c r="E148" t="str">
        <f t="shared" si="13"/>
        <v>112</v>
      </c>
      <c r="F148" t="str">
        <f t="shared" si="14"/>
        <v>At Risk</v>
      </c>
      <c r="J148">
        <f t="shared" si="15"/>
        <v>1</v>
      </c>
      <c r="K148">
        <f t="shared" si="16"/>
        <v>1</v>
      </c>
      <c r="L148">
        <f t="shared" si="17"/>
        <v>2</v>
      </c>
    </row>
    <row r="149" spans="1:12" x14ac:dyDescent="0.35">
      <c r="A149">
        <v>2462</v>
      </c>
      <c r="B149" s="3">
        <f>H$6-_xlfn.MAXIFS(Table1[PurchaseDate],Table1[CustomerID],A149)</f>
        <v>48</v>
      </c>
      <c r="C149">
        <f>COUNTIF(Table1[CustomerID],A149)</f>
        <v>1</v>
      </c>
      <c r="D149" s="12">
        <f>SUMIF(Table1[CustomerID],A149,Table1[TransactionAmount])</f>
        <v>447.3</v>
      </c>
      <c r="E149" t="str">
        <f t="shared" si="13"/>
        <v>113</v>
      </c>
      <c r="F149" t="str">
        <f t="shared" si="14"/>
        <v>Needs Attention</v>
      </c>
      <c r="J149">
        <f t="shared" si="15"/>
        <v>1</v>
      </c>
      <c r="K149">
        <f t="shared" si="16"/>
        <v>1</v>
      </c>
      <c r="L149">
        <f t="shared" si="17"/>
        <v>3</v>
      </c>
    </row>
    <row r="150" spans="1:12" x14ac:dyDescent="0.35">
      <c r="A150">
        <v>2468</v>
      </c>
      <c r="B150" s="3">
        <f>H$6-_xlfn.MAXIFS(Table1[PurchaseDate],Table1[CustomerID],A150)</f>
        <v>38</v>
      </c>
      <c r="C150">
        <f>COUNTIF(Table1[CustomerID],A150)</f>
        <v>1</v>
      </c>
      <c r="D150" s="12">
        <f>SUMIF(Table1[CustomerID],A150,Table1[TransactionAmount])</f>
        <v>558.67999999999995</v>
      </c>
      <c r="E150" t="str">
        <f t="shared" si="13"/>
        <v>213</v>
      </c>
      <c r="F150" t="str">
        <f t="shared" si="14"/>
        <v>Needs Attention</v>
      </c>
      <c r="J150">
        <f t="shared" si="15"/>
        <v>2</v>
      </c>
      <c r="K150">
        <f t="shared" si="16"/>
        <v>1</v>
      </c>
      <c r="L150">
        <f t="shared" si="17"/>
        <v>3</v>
      </c>
    </row>
    <row r="151" spans="1:12" x14ac:dyDescent="0.35">
      <c r="A151">
        <v>2481</v>
      </c>
      <c r="B151" s="3">
        <f>H$6-_xlfn.MAXIFS(Table1[PurchaseDate],Table1[CustomerID],A151)</f>
        <v>50</v>
      </c>
      <c r="C151">
        <f>COUNTIF(Table1[CustomerID],A151)</f>
        <v>1</v>
      </c>
      <c r="D151" s="12">
        <f>SUMIF(Table1[CustomerID],A151,Table1[TransactionAmount])</f>
        <v>809.52</v>
      </c>
      <c r="E151" t="str">
        <f t="shared" si="13"/>
        <v>114</v>
      </c>
      <c r="F151" t="str">
        <f t="shared" si="14"/>
        <v>Needs Attention</v>
      </c>
      <c r="J151">
        <f t="shared" si="15"/>
        <v>1</v>
      </c>
      <c r="K151">
        <f t="shared" si="16"/>
        <v>1</v>
      </c>
      <c r="L151">
        <f t="shared" si="17"/>
        <v>4</v>
      </c>
    </row>
    <row r="152" spans="1:12" x14ac:dyDescent="0.35">
      <c r="A152">
        <v>2489</v>
      </c>
      <c r="B152" s="3">
        <f>H$6-_xlfn.MAXIFS(Table1[PurchaseDate],Table1[CustomerID],A152)</f>
        <v>12</v>
      </c>
      <c r="C152">
        <f>COUNTIF(Table1[CustomerID],A152)</f>
        <v>1</v>
      </c>
      <c r="D152" s="12">
        <f>SUMIF(Table1[CustomerID],A152,Table1[TransactionAmount])</f>
        <v>56.65</v>
      </c>
      <c r="E152" t="str">
        <f t="shared" si="13"/>
        <v>511</v>
      </c>
      <c r="F152" t="str">
        <f t="shared" si="14"/>
        <v>Needs Attention</v>
      </c>
      <c r="J152">
        <f t="shared" si="15"/>
        <v>5</v>
      </c>
      <c r="K152">
        <f t="shared" si="16"/>
        <v>1</v>
      </c>
      <c r="L152">
        <f t="shared" si="17"/>
        <v>1</v>
      </c>
    </row>
    <row r="153" spans="1:12" x14ac:dyDescent="0.35">
      <c r="A153">
        <v>2494</v>
      </c>
      <c r="B153" s="3">
        <f>H$6-_xlfn.MAXIFS(Table1[PurchaseDate],Table1[CustomerID],A153)</f>
        <v>30</v>
      </c>
      <c r="C153">
        <f>COUNTIF(Table1[CustomerID],A153)</f>
        <v>2</v>
      </c>
      <c r="D153" s="12">
        <f>SUMIF(Table1[CustomerID],A153,Table1[TransactionAmount])</f>
        <v>1063.6399999999999</v>
      </c>
      <c r="E153" t="str">
        <f t="shared" si="13"/>
        <v>335</v>
      </c>
      <c r="F153" t="str">
        <f t="shared" si="14"/>
        <v>Loyal Customers</v>
      </c>
      <c r="J153">
        <f t="shared" si="15"/>
        <v>3</v>
      </c>
      <c r="K153">
        <f t="shared" si="16"/>
        <v>3</v>
      </c>
      <c r="L153">
        <f t="shared" si="17"/>
        <v>5</v>
      </c>
    </row>
    <row r="154" spans="1:12" x14ac:dyDescent="0.35">
      <c r="A154">
        <v>2501</v>
      </c>
      <c r="B154" s="3">
        <f>H$6-_xlfn.MAXIFS(Table1[PurchaseDate],Table1[CustomerID],A154)</f>
        <v>18</v>
      </c>
      <c r="C154">
        <f>COUNTIF(Table1[CustomerID],A154)</f>
        <v>1</v>
      </c>
      <c r="D154" s="12">
        <f>SUMIF(Table1[CustomerID],A154,Table1[TransactionAmount])</f>
        <v>219.98</v>
      </c>
      <c r="E154" t="str">
        <f t="shared" si="13"/>
        <v>412</v>
      </c>
      <c r="F154" t="str">
        <f t="shared" si="14"/>
        <v>Needs Attention</v>
      </c>
      <c r="J154">
        <f t="shared" si="15"/>
        <v>4</v>
      </c>
      <c r="K154">
        <f t="shared" si="16"/>
        <v>1</v>
      </c>
      <c r="L154">
        <f t="shared" si="17"/>
        <v>2</v>
      </c>
    </row>
    <row r="155" spans="1:12" x14ac:dyDescent="0.35">
      <c r="A155">
        <v>2502</v>
      </c>
      <c r="B155" s="3">
        <f>H$6-_xlfn.MAXIFS(Table1[PurchaseDate],Table1[CustomerID],A155)</f>
        <v>0</v>
      </c>
      <c r="C155">
        <f>COUNTIF(Table1[CustomerID],A155)</f>
        <v>1</v>
      </c>
      <c r="D155" s="12">
        <f>SUMIF(Table1[CustomerID],A155,Table1[TransactionAmount])</f>
        <v>911.4</v>
      </c>
      <c r="E155" t="str">
        <f t="shared" si="13"/>
        <v>515</v>
      </c>
      <c r="F155" t="str">
        <f t="shared" si="14"/>
        <v>Potential Loyalists</v>
      </c>
      <c r="J155">
        <f t="shared" si="15"/>
        <v>5</v>
      </c>
      <c r="K155">
        <f t="shared" si="16"/>
        <v>1</v>
      </c>
      <c r="L155">
        <f t="shared" si="17"/>
        <v>5</v>
      </c>
    </row>
    <row r="156" spans="1:12" x14ac:dyDescent="0.35">
      <c r="A156">
        <v>2522</v>
      </c>
      <c r="B156" s="3">
        <f>H$6-_xlfn.MAXIFS(Table1[PurchaseDate],Table1[CustomerID],A156)</f>
        <v>37</v>
      </c>
      <c r="C156">
        <f>COUNTIF(Table1[CustomerID],A156)</f>
        <v>1</v>
      </c>
      <c r="D156" s="12">
        <f>SUMIF(Table1[CustomerID],A156,Table1[TransactionAmount])</f>
        <v>816.81</v>
      </c>
      <c r="E156" t="str">
        <f t="shared" si="13"/>
        <v>314</v>
      </c>
      <c r="F156" t="str">
        <f t="shared" si="14"/>
        <v>Potential Loyalists</v>
      </c>
      <c r="J156">
        <f t="shared" si="15"/>
        <v>3</v>
      </c>
      <c r="K156">
        <f t="shared" si="16"/>
        <v>1</v>
      </c>
      <c r="L156">
        <f t="shared" si="17"/>
        <v>4</v>
      </c>
    </row>
    <row r="157" spans="1:12" x14ac:dyDescent="0.35">
      <c r="A157">
        <v>2524</v>
      </c>
      <c r="B157" s="3">
        <f>H$6-_xlfn.MAXIFS(Table1[PurchaseDate],Table1[CustomerID],A157)</f>
        <v>58</v>
      </c>
      <c r="C157">
        <f>COUNTIF(Table1[CustomerID],A157)</f>
        <v>1</v>
      </c>
      <c r="D157" s="12">
        <f>SUMIF(Table1[CustomerID],A157,Table1[TransactionAmount])</f>
        <v>922.06</v>
      </c>
      <c r="E157" t="str">
        <f t="shared" si="13"/>
        <v>115</v>
      </c>
      <c r="F157" t="str">
        <f t="shared" si="14"/>
        <v>Needs Attention</v>
      </c>
      <c r="J157">
        <f t="shared" si="15"/>
        <v>1</v>
      </c>
      <c r="K157">
        <f t="shared" si="16"/>
        <v>1</v>
      </c>
      <c r="L157">
        <f t="shared" si="17"/>
        <v>5</v>
      </c>
    </row>
    <row r="158" spans="1:12" x14ac:dyDescent="0.35">
      <c r="A158">
        <v>2526</v>
      </c>
      <c r="B158" s="3">
        <f>H$6-_xlfn.MAXIFS(Table1[PurchaseDate],Table1[CustomerID],A158)</f>
        <v>14</v>
      </c>
      <c r="C158">
        <f>COUNTIF(Table1[CustomerID],A158)</f>
        <v>2</v>
      </c>
      <c r="D158" s="12">
        <f>SUMIF(Table1[CustomerID],A158,Table1[TransactionAmount])</f>
        <v>1635.23</v>
      </c>
      <c r="E158" t="str">
        <f t="shared" si="13"/>
        <v>435</v>
      </c>
      <c r="F158" t="str">
        <f t="shared" si="14"/>
        <v>Champions</v>
      </c>
      <c r="J158">
        <f t="shared" si="15"/>
        <v>4</v>
      </c>
      <c r="K158">
        <f t="shared" si="16"/>
        <v>3</v>
      </c>
      <c r="L158">
        <f t="shared" si="17"/>
        <v>5</v>
      </c>
    </row>
    <row r="159" spans="1:12" x14ac:dyDescent="0.35">
      <c r="A159">
        <v>2527</v>
      </c>
      <c r="B159" s="3">
        <f>H$6-_xlfn.MAXIFS(Table1[PurchaseDate],Table1[CustomerID],A159)</f>
        <v>46</v>
      </c>
      <c r="C159">
        <f>COUNTIF(Table1[CustomerID],A159)</f>
        <v>1</v>
      </c>
      <c r="D159" s="12">
        <f>SUMIF(Table1[CustomerID],A159,Table1[TransactionAmount])</f>
        <v>992.33</v>
      </c>
      <c r="E159" t="str">
        <f t="shared" si="13"/>
        <v>215</v>
      </c>
      <c r="F159" t="str">
        <f t="shared" si="14"/>
        <v>Needs Attention</v>
      </c>
      <c r="J159">
        <f t="shared" si="15"/>
        <v>2</v>
      </c>
      <c r="K159">
        <f t="shared" si="16"/>
        <v>1</v>
      </c>
      <c r="L159">
        <f t="shared" si="17"/>
        <v>5</v>
      </c>
    </row>
    <row r="160" spans="1:12" x14ac:dyDescent="0.35">
      <c r="A160">
        <v>2531</v>
      </c>
      <c r="B160" s="3">
        <f>H$6-_xlfn.MAXIFS(Table1[PurchaseDate],Table1[CustomerID],A160)</f>
        <v>35</v>
      </c>
      <c r="C160">
        <f>COUNTIF(Table1[CustomerID],A160)</f>
        <v>1</v>
      </c>
      <c r="D160" s="12">
        <f>SUMIF(Table1[CustomerID],A160,Table1[TransactionAmount])</f>
        <v>385.47</v>
      </c>
      <c r="E160" t="str">
        <f t="shared" si="13"/>
        <v>312</v>
      </c>
      <c r="F160" t="str">
        <f t="shared" si="14"/>
        <v>Needs Attention</v>
      </c>
      <c r="J160">
        <f t="shared" si="15"/>
        <v>3</v>
      </c>
      <c r="K160">
        <f t="shared" si="16"/>
        <v>1</v>
      </c>
      <c r="L160">
        <f t="shared" si="17"/>
        <v>2</v>
      </c>
    </row>
    <row r="161" spans="1:12" x14ac:dyDescent="0.35">
      <c r="A161">
        <v>2551</v>
      </c>
      <c r="B161" s="3">
        <f>H$6-_xlfn.MAXIFS(Table1[PurchaseDate],Table1[CustomerID],A161)</f>
        <v>31</v>
      </c>
      <c r="C161">
        <f>COUNTIF(Table1[CustomerID],A161)</f>
        <v>1</v>
      </c>
      <c r="D161" s="12">
        <f>SUMIF(Table1[CustomerID],A161,Table1[TransactionAmount])</f>
        <v>110.89</v>
      </c>
      <c r="E161" t="str">
        <f t="shared" si="13"/>
        <v>311</v>
      </c>
      <c r="F161" t="str">
        <f t="shared" si="14"/>
        <v>Needs Attention</v>
      </c>
      <c r="J161">
        <f t="shared" si="15"/>
        <v>3</v>
      </c>
      <c r="K161">
        <f t="shared" si="16"/>
        <v>1</v>
      </c>
      <c r="L161">
        <f t="shared" si="17"/>
        <v>1</v>
      </c>
    </row>
    <row r="162" spans="1:12" x14ac:dyDescent="0.35">
      <c r="A162">
        <v>2556</v>
      </c>
      <c r="B162" s="3">
        <f>H$6-_xlfn.MAXIFS(Table1[PurchaseDate],Table1[CustomerID],A162)</f>
        <v>6</v>
      </c>
      <c r="C162">
        <f>COUNTIF(Table1[CustomerID],A162)</f>
        <v>1</v>
      </c>
      <c r="D162" s="12">
        <f>SUMIF(Table1[CustomerID],A162,Table1[TransactionAmount])</f>
        <v>760.62</v>
      </c>
      <c r="E162" t="str">
        <f t="shared" si="13"/>
        <v>514</v>
      </c>
      <c r="F162" t="str">
        <f t="shared" si="14"/>
        <v>Potential Loyalists</v>
      </c>
      <c r="J162">
        <f t="shared" si="15"/>
        <v>5</v>
      </c>
      <c r="K162">
        <f t="shared" si="16"/>
        <v>1</v>
      </c>
      <c r="L162">
        <f t="shared" si="17"/>
        <v>4</v>
      </c>
    </row>
    <row r="163" spans="1:12" x14ac:dyDescent="0.35">
      <c r="A163">
        <v>2557</v>
      </c>
      <c r="B163" s="3">
        <f>H$6-_xlfn.MAXIFS(Table1[PurchaseDate],Table1[CustomerID],A163)</f>
        <v>40</v>
      </c>
      <c r="C163">
        <f>COUNTIF(Table1[CustomerID],A163)</f>
        <v>1</v>
      </c>
      <c r="D163" s="12">
        <f>SUMIF(Table1[CustomerID],A163,Table1[TransactionAmount])</f>
        <v>432.5</v>
      </c>
      <c r="E163" t="str">
        <f t="shared" si="13"/>
        <v>212</v>
      </c>
      <c r="F163" t="str">
        <f t="shared" si="14"/>
        <v>At Risk</v>
      </c>
      <c r="J163">
        <f t="shared" si="15"/>
        <v>2</v>
      </c>
      <c r="K163">
        <f t="shared" si="16"/>
        <v>1</v>
      </c>
      <c r="L163">
        <f t="shared" si="17"/>
        <v>2</v>
      </c>
    </row>
    <row r="164" spans="1:12" x14ac:dyDescent="0.35">
      <c r="A164">
        <v>2559</v>
      </c>
      <c r="B164" s="3">
        <f>H$6-_xlfn.MAXIFS(Table1[PurchaseDate],Table1[CustomerID],A164)</f>
        <v>60</v>
      </c>
      <c r="C164">
        <f>COUNTIF(Table1[CustomerID],A164)</f>
        <v>1</v>
      </c>
      <c r="D164" s="12">
        <f>SUMIF(Table1[CustomerID],A164,Table1[TransactionAmount])</f>
        <v>221.29</v>
      </c>
      <c r="E164" t="str">
        <f t="shared" si="13"/>
        <v>112</v>
      </c>
      <c r="F164" t="str">
        <f t="shared" si="14"/>
        <v>At Risk</v>
      </c>
      <c r="J164">
        <f t="shared" si="15"/>
        <v>1</v>
      </c>
      <c r="K164">
        <f t="shared" si="16"/>
        <v>1</v>
      </c>
      <c r="L164">
        <f t="shared" si="17"/>
        <v>2</v>
      </c>
    </row>
    <row r="165" spans="1:12" x14ac:dyDescent="0.35">
      <c r="A165">
        <v>2562</v>
      </c>
      <c r="B165" s="3">
        <f>H$6-_xlfn.MAXIFS(Table1[PurchaseDate],Table1[CustomerID],A165)</f>
        <v>3</v>
      </c>
      <c r="C165">
        <f>COUNTIF(Table1[CustomerID],A165)</f>
        <v>1</v>
      </c>
      <c r="D165" s="12">
        <f>SUMIF(Table1[CustomerID],A165,Table1[TransactionAmount])</f>
        <v>532.88</v>
      </c>
      <c r="E165" t="str">
        <f t="shared" si="13"/>
        <v>513</v>
      </c>
      <c r="F165" t="str">
        <f t="shared" si="14"/>
        <v>Potential Loyalists</v>
      </c>
      <c r="J165">
        <f t="shared" si="15"/>
        <v>5</v>
      </c>
      <c r="K165">
        <f t="shared" si="16"/>
        <v>1</v>
      </c>
      <c r="L165">
        <f t="shared" si="17"/>
        <v>3</v>
      </c>
    </row>
    <row r="166" spans="1:12" x14ac:dyDescent="0.35">
      <c r="A166">
        <v>2577</v>
      </c>
      <c r="B166" s="3">
        <f>H$6-_xlfn.MAXIFS(Table1[PurchaseDate],Table1[CustomerID],A166)</f>
        <v>49</v>
      </c>
      <c r="C166">
        <f>COUNTIF(Table1[CustomerID],A166)</f>
        <v>1</v>
      </c>
      <c r="D166" s="12">
        <f>SUMIF(Table1[CustomerID],A166,Table1[TransactionAmount])</f>
        <v>481.11</v>
      </c>
      <c r="E166" t="str">
        <f t="shared" si="13"/>
        <v>113</v>
      </c>
      <c r="F166" t="str">
        <f t="shared" si="14"/>
        <v>Needs Attention</v>
      </c>
      <c r="J166">
        <f t="shared" si="15"/>
        <v>1</v>
      </c>
      <c r="K166">
        <f t="shared" si="16"/>
        <v>1</v>
      </c>
      <c r="L166">
        <f t="shared" si="17"/>
        <v>3</v>
      </c>
    </row>
    <row r="167" spans="1:12" x14ac:dyDescent="0.35">
      <c r="A167">
        <v>2582</v>
      </c>
      <c r="B167" s="3">
        <f>H$6-_xlfn.MAXIFS(Table1[PurchaseDate],Table1[CustomerID],A167)</f>
        <v>13</v>
      </c>
      <c r="C167">
        <f>COUNTIF(Table1[CustomerID],A167)</f>
        <v>1</v>
      </c>
      <c r="D167" s="12">
        <f>SUMIF(Table1[CustomerID],A167,Table1[TransactionAmount])</f>
        <v>741.41</v>
      </c>
      <c r="E167" t="str">
        <f t="shared" si="13"/>
        <v>414</v>
      </c>
      <c r="F167" t="str">
        <f t="shared" si="14"/>
        <v>Potential Loyalists</v>
      </c>
      <c r="J167">
        <f t="shared" si="15"/>
        <v>4</v>
      </c>
      <c r="K167">
        <f t="shared" si="16"/>
        <v>1</v>
      </c>
      <c r="L167">
        <f t="shared" si="17"/>
        <v>4</v>
      </c>
    </row>
    <row r="168" spans="1:12" x14ac:dyDescent="0.35">
      <c r="A168">
        <v>2617</v>
      </c>
      <c r="B168" s="3">
        <f>H$6-_xlfn.MAXIFS(Table1[PurchaseDate],Table1[CustomerID],A168)</f>
        <v>58</v>
      </c>
      <c r="C168">
        <f>COUNTIF(Table1[CustomerID],A168)</f>
        <v>1</v>
      </c>
      <c r="D168" s="12">
        <f>SUMIF(Table1[CustomerID],A168,Table1[TransactionAmount])</f>
        <v>575.29999999999995</v>
      </c>
      <c r="E168" t="str">
        <f t="shared" si="13"/>
        <v>113</v>
      </c>
      <c r="F168" t="str">
        <f t="shared" si="14"/>
        <v>Needs Attention</v>
      </c>
      <c r="J168">
        <f t="shared" si="15"/>
        <v>1</v>
      </c>
      <c r="K168">
        <f t="shared" si="16"/>
        <v>1</v>
      </c>
      <c r="L168">
        <f t="shared" si="17"/>
        <v>3</v>
      </c>
    </row>
    <row r="169" spans="1:12" x14ac:dyDescent="0.35">
      <c r="A169">
        <v>2624</v>
      </c>
      <c r="B169" s="3">
        <f>H$6-_xlfn.MAXIFS(Table1[PurchaseDate],Table1[CustomerID],A169)</f>
        <v>10</v>
      </c>
      <c r="C169">
        <f>COUNTIF(Table1[CustomerID],A169)</f>
        <v>1</v>
      </c>
      <c r="D169" s="12">
        <f>SUMIF(Table1[CustomerID],A169,Table1[TransactionAmount])</f>
        <v>704.76</v>
      </c>
      <c r="E169" t="str">
        <f t="shared" si="13"/>
        <v>514</v>
      </c>
      <c r="F169" t="str">
        <f t="shared" si="14"/>
        <v>Potential Loyalists</v>
      </c>
      <c r="J169">
        <f t="shared" si="15"/>
        <v>5</v>
      </c>
      <c r="K169">
        <f t="shared" si="16"/>
        <v>1</v>
      </c>
      <c r="L169">
        <f t="shared" si="17"/>
        <v>4</v>
      </c>
    </row>
    <row r="170" spans="1:12" x14ac:dyDescent="0.35">
      <c r="A170">
        <v>2625</v>
      </c>
      <c r="B170" s="3">
        <f>H$6-_xlfn.MAXIFS(Table1[PurchaseDate],Table1[CustomerID],A170)</f>
        <v>0</v>
      </c>
      <c r="C170">
        <f>COUNTIF(Table1[CustomerID],A170)</f>
        <v>1</v>
      </c>
      <c r="D170" s="12">
        <f>SUMIF(Table1[CustomerID],A170,Table1[TransactionAmount])</f>
        <v>765.11</v>
      </c>
      <c r="E170" t="str">
        <f t="shared" si="13"/>
        <v>514</v>
      </c>
      <c r="F170" t="str">
        <f t="shared" si="14"/>
        <v>Potential Loyalists</v>
      </c>
      <c r="J170">
        <f t="shared" si="15"/>
        <v>5</v>
      </c>
      <c r="K170">
        <f t="shared" si="16"/>
        <v>1</v>
      </c>
      <c r="L170">
        <f t="shared" si="17"/>
        <v>4</v>
      </c>
    </row>
    <row r="171" spans="1:12" x14ac:dyDescent="0.35">
      <c r="A171">
        <v>2633</v>
      </c>
      <c r="B171" s="3">
        <f>H$6-_xlfn.MAXIFS(Table1[PurchaseDate],Table1[CustomerID],A171)</f>
        <v>27</v>
      </c>
      <c r="C171">
        <f>COUNTIF(Table1[CustomerID],A171)</f>
        <v>1</v>
      </c>
      <c r="D171" s="12">
        <f>SUMIF(Table1[CustomerID],A171,Table1[TransactionAmount])</f>
        <v>911.34</v>
      </c>
      <c r="E171" t="str">
        <f t="shared" si="13"/>
        <v>315</v>
      </c>
      <c r="F171" t="str">
        <f t="shared" si="14"/>
        <v>Potential Loyalists</v>
      </c>
      <c r="J171">
        <f t="shared" si="15"/>
        <v>3</v>
      </c>
      <c r="K171">
        <f t="shared" si="16"/>
        <v>1</v>
      </c>
      <c r="L171">
        <f t="shared" si="17"/>
        <v>5</v>
      </c>
    </row>
    <row r="172" spans="1:12" x14ac:dyDescent="0.35">
      <c r="A172">
        <v>2654</v>
      </c>
      <c r="B172" s="3">
        <f>H$6-_xlfn.MAXIFS(Table1[PurchaseDate],Table1[CustomerID],A172)</f>
        <v>36</v>
      </c>
      <c r="C172">
        <f>COUNTIF(Table1[CustomerID],A172)</f>
        <v>1</v>
      </c>
      <c r="D172" s="12">
        <f>SUMIF(Table1[CustomerID],A172,Table1[TransactionAmount])</f>
        <v>285.19</v>
      </c>
      <c r="E172" t="str">
        <f t="shared" si="13"/>
        <v>312</v>
      </c>
      <c r="F172" t="str">
        <f t="shared" si="14"/>
        <v>Needs Attention</v>
      </c>
      <c r="J172">
        <f t="shared" si="15"/>
        <v>3</v>
      </c>
      <c r="K172">
        <f t="shared" si="16"/>
        <v>1</v>
      </c>
      <c r="L172">
        <f t="shared" si="17"/>
        <v>2</v>
      </c>
    </row>
    <row r="173" spans="1:12" x14ac:dyDescent="0.35">
      <c r="A173">
        <v>2655</v>
      </c>
      <c r="B173" s="3">
        <f>H$6-_xlfn.MAXIFS(Table1[PurchaseDate],Table1[CustomerID],A173)</f>
        <v>39</v>
      </c>
      <c r="C173">
        <f>COUNTIF(Table1[CustomerID],A173)</f>
        <v>1</v>
      </c>
      <c r="D173" s="12">
        <f>SUMIF(Table1[CustomerID],A173,Table1[TransactionAmount])</f>
        <v>308.75</v>
      </c>
      <c r="E173" t="str">
        <f t="shared" si="13"/>
        <v>212</v>
      </c>
      <c r="F173" t="str">
        <f t="shared" si="14"/>
        <v>At Risk</v>
      </c>
      <c r="J173">
        <f t="shared" si="15"/>
        <v>2</v>
      </c>
      <c r="K173">
        <f t="shared" si="16"/>
        <v>1</v>
      </c>
      <c r="L173">
        <f t="shared" si="17"/>
        <v>2</v>
      </c>
    </row>
    <row r="174" spans="1:12" x14ac:dyDescent="0.35">
      <c r="A174">
        <v>2658</v>
      </c>
      <c r="B174" s="3">
        <f>H$6-_xlfn.MAXIFS(Table1[PurchaseDate],Table1[CustomerID],A174)</f>
        <v>14</v>
      </c>
      <c r="C174">
        <f>COUNTIF(Table1[CustomerID],A174)</f>
        <v>1</v>
      </c>
      <c r="D174" s="12">
        <f>SUMIF(Table1[CustomerID],A174,Table1[TransactionAmount])</f>
        <v>238.71</v>
      </c>
      <c r="E174" t="str">
        <f t="shared" si="13"/>
        <v>412</v>
      </c>
      <c r="F174" t="str">
        <f t="shared" si="14"/>
        <v>Needs Attention</v>
      </c>
      <c r="J174">
        <f t="shared" si="15"/>
        <v>4</v>
      </c>
      <c r="K174">
        <f t="shared" si="16"/>
        <v>1</v>
      </c>
      <c r="L174">
        <f t="shared" si="17"/>
        <v>2</v>
      </c>
    </row>
    <row r="175" spans="1:12" x14ac:dyDescent="0.35">
      <c r="A175">
        <v>2669</v>
      </c>
      <c r="B175" s="3">
        <f>H$6-_xlfn.MAXIFS(Table1[PurchaseDate],Table1[CustomerID],A175)</f>
        <v>16</v>
      </c>
      <c r="C175">
        <f>COUNTIF(Table1[CustomerID],A175)</f>
        <v>1</v>
      </c>
      <c r="D175" s="12">
        <f>SUMIF(Table1[CustomerID],A175,Table1[TransactionAmount])</f>
        <v>774.76</v>
      </c>
      <c r="E175" t="str">
        <f t="shared" si="13"/>
        <v>414</v>
      </c>
      <c r="F175" t="str">
        <f t="shared" si="14"/>
        <v>Potential Loyalists</v>
      </c>
      <c r="J175">
        <f t="shared" si="15"/>
        <v>4</v>
      </c>
      <c r="K175">
        <f t="shared" si="16"/>
        <v>1</v>
      </c>
      <c r="L175">
        <f t="shared" si="17"/>
        <v>4</v>
      </c>
    </row>
    <row r="176" spans="1:12" x14ac:dyDescent="0.35">
      <c r="A176">
        <v>2679</v>
      </c>
      <c r="B176" s="3">
        <f>H$6-_xlfn.MAXIFS(Table1[PurchaseDate],Table1[CustomerID],A176)</f>
        <v>17</v>
      </c>
      <c r="C176">
        <f>COUNTIF(Table1[CustomerID],A176)</f>
        <v>1</v>
      </c>
      <c r="D176" s="12">
        <f>SUMIF(Table1[CustomerID],A176,Table1[TransactionAmount])</f>
        <v>743.26</v>
      </c>
      <c r="E176" t="str">
        <f t="shared" si="13"/>
        <v>414</v>
      </c>
      <c r="F176" t="str">
        <f t="shared" si="14"/>
        <v>Potential Loyalists</v>
      </c>
      <c r="J176">
        <f t="shared" si="15"/>
        <v>4</v>
      </c>
      <c r="K176">
        <f t="shared" si="16"/>
        <v>1</v>
      </c>
      <c r="L176">
        <f t="shared" si="17"/>
        <v>4</v>
      </c>
    </row>
    <row r="177" spans="1:12" x14ac:dyDescent="0.35">
      <c r="A177">
        <v>2681</v>
      </c>
      <c r="B177" s="3">
        <f>H$6-_xlfn.MAXIFS(Table1[PurchaseDate],Table1[CustomerID],A177)</f>
        <v>35</v>
      </c>
      <c r="C177">
        <f>COUNTIF(Table1[CustomerID],A177)</f>
        <v>1</v>
      </c>
      <c r="D177" s="12">
        <f>SUMIF(Table1[CustomerID],A177,Table1[TransactionAmount])</f>
        <v>418.22</v>
      </c>
      <c r="E177" t="str">
        <f t="shared" si="13"/>
        <v>312</v>
      </c>
      <c r="F177" t="str">
        <f t="shared" si="14"/>
        <v>Needs Attention</v>
      </c>
      <c r="J177">
        <f t="shared" si="15"/>
        <v>3</v>
      </c>
      <c r="K177">
        <f t="shared" si="16"/>
        <v>1</v>
      </c>
      <c r="L177">
        <f t="shared" si="17"/>
        <v>2</v>
      </c>
    </row>
    <row r="178" spans="1:12" x14ac:dyDescent="0.35">
      <c r="A178">
        <v>2682</v>
      </c>
      <c r="B178" s="3">
        <f>H$6-_xlfn.MAXIFS(Table1[PurchaseDate],Table1[CustomerID],A178)</f>
        <v>36</v>
      </c>
      <c r="C178">
        <f>COUNTIF(Table1[CustomerID],A178)</f>
        <v>1</v>
      </c>
      <c r="D178" s="12">
        <f>SUMIF(Table1[CustomerID],A178,Table1[TransactionAmount])</f>
        <v>508.3</v>
      </c>
      <c r="E178" t="str">
        <f t="shared" si="13"/>
        <v>313</v>
      </c>
      <c r="F178" t="str">
        <f t="shared" si="14"/>
        <v>Potential Loyalists</v>
      </c>
      <c r="J178">
        <f t="shared" si="15"/>
        <v>3</v>
      </c>
      <c r="K178">
        <f t="shared" si="16"/>
        <v>1</v>
      </c>
      <c r="L178">
        <f t="shared" si="17"/>
        <v>3</v>
      </c>
    </row>
    <row r="179" spans="1:12" x14ac:dyDescent="0.35">
      <c r="A179">
        <v>2691</v>
      </c>
      <c r="B179" s="3">
        <f>H$6-_xlfn.MAXIFS(Table1[PurchaseDate],Table1[CustomerID],A179)</f>
        <v>15</v>
      </c>
      <c r="C179">
        <f>COUNTIF(Table1[CustomerID],A179)</f>
        <v>1</v>
      </c>
      <c r="D179" s="12">
        <f>SUMIF(Table1[CustomerID],A179,Table1[TransactionAmount])</f>
        <v>968.76</v>
      </c>
      <c r="E179" t="str">
        <f t="shared" si="13"/>
        <v>415</v>
      </c>
      <c r="F179" t="str">
        <f t="shared" si="14"/>
        <v>Potential Loyalists</v>
      </c>
      <c r="J179">
        <f t="shared" si="15"/>
        <v>4</v>
      </c>
      <c r="K179">
        <f t="shared" si="16"/>
        <v>1</v>
      </c>
      <c r="L179">
        <f t="shared" si="17"/>
        <v>5</v>
      </c>
    </row>
    <row r="180" spans="1:12" x14ac:dyDescent="0.35">
      <c r="A180">
        <v>2695</v>
      </c>
      <c r="B180" s="3">
        <f>H$6-_xlfn.MAXIFS(Table1[PurchaseDate],Table1[CustomerID],A180)</f>
        <v>9</v>
      </c>
      <c r="C180">
        <f>COUNTIF(Table1[CustomerID],A180)</f>
        <v>1</v>
      </c>
      <c r="D180" s="12">
        <f>SUMIF(Table1[CustomerID],A180,Table1[TransactionAmount])</f>
        <v>900.14</v>
      </c>
      <c r="E180" t="str">
        <f t="shared" si="13"/>
        <v>515</v>
      </c>
      <c r="F180" t="str">
        <f t="shared" si="14"/>
        <v>Potential Loyalists</v>
      </c>
      <c r="J180">
        <f t="shared" si="15"/>
        <v>5</v>
      </c>
      <c r="K180">
        <f t="shared" si="16"/>
        <v>1</v>
      </c>
      <c r="L180">
        <f t="shared" si="17"/>
        <v>5</v>
      </c>
    </row>
    <row r="181" spans="1:12" x14ac:dyDescent="0.35">
      <c r="A181">
        <v>2702</v>
      </c>
      <c r="B181" s="3">
        <f>H$6-_xlfn.MAXIFS(Table1[PurchaseDate],Table1[CustomerID],A181)</f>
        <v>44</v>
      </c>
      <c r="C181">
        <f>COUNTIF(Table1[CustomerID],A181)</f>
        <v>2</v>
      </c>
      <c r="D181" s="12">
        <f>SUMIF(Table1[CustomerID],A181,Table1[TransactionAmount])</f>
        <v>1164.3</v>
      </c>
      <c r="E181" t="str">
        <f t="shared" si="13"/>
        <v>235</v>
      </c>
      <c r="F181" t="str">
        <f t="shared" si="14"/>
        <v>Needs Attention</v>
      </c>
      <c r="J181">
        <f t="shared" si="15"/>
        <v>2</v>
      </c>
      <c r="K181">
        <f t="shared" si="16"/>
        <v>3</v>
      </c>
      <c r="L181">
        <f t="shared" si="17"/>
        <v>5</v>
      </c>
    </row>
    <row r="182" spans="1:12" x14ac:dyDescent="0.35">
      <c r="A182">
        <v>2728</v>
      </c>
      <c r="B182" s="3">
        <f>H$6-_xlfn.MAXIFS(Table1[PurchaseDate],Table1[CustomerID],A182)</f>
        <v>11</v>
      </c>
      <c r="C182">
        <f>COUNTIF(Table1[CustomerID],A182)</f>
        <v>1</v>
      </c>
      <c r="D182" s="12">
        <f>SUMIF(Table1[CustomerID],A182,Table1[TransactionAmount])</f>
        <v>642.24</v>
      </c>
      <c r="E182" t="str">
        <f t="shared" si="13"/>
        <v>513</v>
      </c>
      <c r="F182" t="str">
        <f t="shared" si="14"/>
        <v>Potential Loyalists</v>
      </c>
      <c r="J182">
        <f t="shared" si="15"/>
        <v>5</v>
      </c>
      <c r="K182">
        <f t="shared" si="16"/>
        <v>1</v>
      </c>
      <c r="L182">
        <f t="shared" si="17"/>
        <v>3</v>
      </c>
    </row>
    <row r="183" spans="1:12" x14ac:dyDescent="0.35">
      <c r="A183">
        <v>2741</v>
      </c>
      <c r="B183" s="3">
        <f>H$6-_xlfn.MAXIFS(Table1[PurchaseDate],Table1[CustomerID],A183)</f>
        <v>29</v>
      </c>
      <c r="C183">
        <f>COUNTIF(Table1[CustomerID],A183)</f>
        <v>2</v>
      </c>
      <c r="D183" s="12">
        <f>SUMIF(Table1[CustomerID],A183,Table1[TransactionAmount])</f>
        <v>1104.57</v>
      </c>
      <c r="E183" t="str">
        <f t="shared" si="13"/>
        <v>335</v>
      </c>
      <c r="F183" t="str">
        <f t="shared" si="14"/>
        <v>Loyal Customers</v>
      </c>
      <c r="J183">
        <f t="shared" si="15"/>
        <v>3</v>
      </c>
      <c r="K183">
        <f t="shared" si="16"/>
        <v>3</v>
      </c>
      <c r="L183">
        <f t="shared" si="17"/>
        <v>5</v>
      </c>
    </row>
    <row r="184" spans="1:12" x14ac:dyDescent="0.35">
      <c r="A184">
        <v>2747</v>
      </c>
      <c r="B184" s="3">
        <f>H$6-_xlfn.MAXIFS(Table1[PurchaseDate],Table1[CustomerID],A184)</f>
        <v>45</v>
      </c>
      <c r="C184">
        <f>COUNTIF(Table1[CustomerID],A184)</f>
        <v>1</v>
      </c>
      <c r="D184" s="12">
        <f>SUMIF(Table1[CustomerID],A184,Table1[TransactionAmount])</f>
        <v>387.55</v>
      </c>
      <c r="E184" t="str">
        <f t="shared" si="13"/>
        <v>212</v>
      </c>
      <c r="F184" t="str">
        <f t="shared" si="14"/>
        <v>At Risk</v>
      </c>
      <c r="J184">
        <f t="shared" si="15"/>
        <v>2</v>
      </c>
      <c r="K184">
        <f t="shared" si="16"/>
        <v>1</v>
      </c>
      <c r="L184">
        <f t="shared" si="17"/>
        <v>2</v>
      </c>
    </row>
    <row r="185" spans="1:12" x14ac:dyDescent="0.35">
      <c r="A185">
        <v>2749</v>
      </c>
      <c r="B185" s="3">
        <f>H$6-_xlfn.MAXIFS(Table1[PurchaseDate],Table1[CustomerID],A185)</f>
        <v>52</v>
      </c>
      <c r="C185">
        <f>COUNTIF(Table1[CustomerID],A185)</f>
        <v>1</v>
      </c>
      <c r="D185" s="12">
        <f>SUMIF(Table1[CustomerID],A185,Table1[TransactionAmount])</f>
        <v>192.9</v>
      </c>
      <c r="E185" t="str">
        <f t="shared" si="13"/>
        <v>111</v>
      </c>
      <c r="F185" t="str">
        <f t="shared" si="14"/>
        <v>At Risk</v>
      </c>
      <c r="J185">
        <f t="shared" si="15"/>
        <v>1</v>
      </c>
      <c r="K185">
        <f t="shared" si="16"/>
        <v>1</v>
      </c>
      <c r="L185">
        <f t="shared" si="17"/>
        <v>1</v>
      </c>
    </row>
    <row r="186" spans="1:12" x14ac:dyDescent="0.35">
      <c r="A186">
        <v>2752</v>
      </c>
      <c r="B186" s="3">
        <f>H$6-_xlfn.MAXIFS(Table1[PurchaseDate],Table1[CustomerID],A186)</f>
        <v>44</v>
      </c>
      <c r="C186">
        <f>COUNTIF(Table1[CustomerID],A186)</f>
        <v>1</v>
      </c>
      <c r="D186" s="12">
        <f>SUMIF(Table1[CustomerID],A186,Table1[TransactionAmount])</f>
        <v>614.74</v>
      </c>
      <c r="E186" t="str">
        <f t="shared" si="13"/>
        <v>213</v>
      </c>
      <c r="F186" t="str">
        <f t="shared" si="14"/>
        <v>Needs Attention</v>
      </c>
      <c r="J186">
        <f t="shared" si="15"/>
        <v>2</v>
      </c>
      <c r="K186">
        <f t="shared" si="16"/>
        <v>1</v>
      </c>
      <c r="L186">
        <f t="shared" si="17"/>
        <v>3</v>
      </c>
    </row>
    <row r="187" spans="1:12" x14ac:dyDescent="0.35">
      <c r="A187">
        <v>2753</v>
      </c>
      <c r="B187" s="3">
        <f>H$6-_xlfn.MAXIFS(Table1[PurchaseDate],Table1[CustomerID],A187)</f>
        <v>13</v>
      </c>
      <c r="C187">
        <f>COUNTIF(Table1[CustomerID],A187)</f>
        <v>1</v>
      </c>
      <c r="D187" s="12">
        <f>SUMIF(Table1[CustomerID],A187,Table1[TransactionAmount])</f>
        <v>557.69000000000005</v>
      </c>
      <c r="E187" t="str">
        <f t="shared" si="13"/>
        <v>413</v>
      </c>
      <c r="F187" t="str">
        <f t="shared" si="14"/>
        <v>Potential Loyalists</v>
      </c>
      <c r="J187">
        <f t="shared" si="15"/>
        <v>4</v>
      </c>
      <c r="K187">
        <f t="shared" si="16"/>
        <v>1</v>
      </c>
      <c r="L187">
        <f t="shared" si="17"/>
        <v>3</v>
      </c>
    </row>
    <row r="188" spans="1:12" x14ac:dyDescent="0.35">
      <c r="A188">
        <v>2761</v>
      </c>
      <c r="B188" s="3">
        <f>H$6-_xlfn.MAXIFS(Table1[PurchaseDate],Table1[CustomerID],A188)</f>
        <v>33</v>
      </c>
      <c r="C188">
        <f>COUNTIF(Table1[CustomerID],A188)</f>
        <v>1</v>
      </c>
      <c r="D188" s="12">
        <f>SUMIF(Table1[CustomerID],A188,Table1[TransactionAmount])</f>
        <v>142.6</v>
      </c>
      <c r="E188" t="str">
        <f t="shared" si="13"/>
        <v>311</v>
      </c>
      <c r="F188" t="str">
        <f t="shared" si="14"/>
        <v>Needs Attention</v>
      </c>
      <c r="J188">
        <f t="shared" si="15"/>
        <v>3</v>
      </c>
      <c r="K188">
        <f t="shared" si="16"/>
        <v>1</v>
      </c>
      <c r="L188">
        <f t="shared" si="17"/>
        <v>1</v>
      </c>
    </row>
    <row r="189" spans="1:12" x14ac:dyDescent="0.35">
      <c r="A189">
        <v>2765</v>
      </c>
      <c r="B189" s="3">
        <f>H$6-_xlfn.MAXIFS(Table1[PurchaseDate],Table1[CustomerID],A189)</f>
        <v>12</v>
      </c>
      <c r="C189">
        <f>COUNTIF(Table1[CustomerID],A189)</f>
        <v>1</v>
      </c>
      <c r="D189" s="12">
        <f>SUMIF(Table1[CustomerID],A189,Table1[TransactionAmount])</f>
        <v>420.33</v>
      </c>
      <c r="E189" t="str">
        <f t="shared" si="13"/>
        <v>512</v>
      </c>
      <c r="F189" t="str">
        <f t="shared" si="14"/>
        <v>Needs Attention</v>
      </c>
      <c r="J189">
        <f t="shared" si="15"/>
        <v>5</v>
      </c>
      <c r="K189">
        <f t="shared" si="16"/>
        <v>1</v>
      </c>
      <c r="L189">
        <f t="shared" si="17"/>
        <v>2</v>
      </c>
    </row>
    <row r="190" spans="1:12" x14ac:dyDescent="0.35">
      <c r="A190">
        <v>2767</v>
      </c>
      <c r="B190" s="3">
        <f>H$6-_xlfn.MAXIFS(Table1[PurchaseDate],Table1[CustomerID],A190)</f>
        <v>59</v>
      </c>
      <c r="C190">
        <f>COUNTIF(Table1[CustomerID],A190)</f>
        <v>1</v>
      </c>
      <c r="D190" s="12">
        <f>SUMIF(Table1[CustomerID],A190,Table1[TransactionAmount])</f>
        <v>299.57</v>
      </c>
      <c r="E190" t="str">
        <f t="shared" si="13"/>
        <v>112</v>
      </c>
      <c r="F190" t="str">
        <f t="shared" si="14"/>
        <v>At Risk</v>
      </c>
      <c r="J190">
        <f t="shared" si="15"/>
        <v>1</v>
      </c>
      <c r="K190">
        <f t="shared" si="16"/>
        <v>1</v>
      </c>
      <c r="L190">
        <f t="shared" si="17"/>
        <v>2</v>
      </c>
    </row>
    <row r="191" spans="1:12" x14ac:dyDescent="0.35">
      <c r="A191">
        <v>2791</v>
      </c>
      <c r="B191" s="3">
        <f>H$6-_xlfn.MAXIFS(Table1[PurchaseDate],Table1[CustomerID],A191)</f>
        <v>17</v>
      </c>
      <c r="C191">
        <f>COUNTIF(Table1[CustomerID],A191)</f>
        <v>1</v>
      </c>
      <c r="D191" s="12">
        <f>SUMIF(Table1[CustomerID],A191,Table1[TransactionAmount])</f>
        <v>802.05</v>
      </c>
      <c r="E191" t="str">
        <f t="shared" si="13"/>
        <v>414</v>
      </c>
      <c r="F191" t="str">
        <f t="shared" si="14"/>
        <v>Potential Loyalists</v>
      </c>
      <c r="J191">
        <f t="shared" si="15"/>
        <v>4</v>
      </c>
      <c r="K191">
        <f t="shared" si="16"/>
        <v>1</v>
      </c>
      <c r="L191">
        <f t="shared" si="17"/>
        <v>4</v>
      </c>
    </row>
    <row r="192" spans="1:12" x14ac:dyDescent="0.35">
      <c r="A192">
        <v>2809</v>
      </c>
      <c r="B192" s="3">
        <f>H$6-_xlfn.MAXIFS(Table1[PurchaseDate],Table1[CustomerID],A192)</f>
        <v>54</v>
      </c>
      <c r="C192">
        <f>COUNTIF(Table1[CustomerID],A192)</f>
        <v>1</v>
      </c>
      <c r="D192" s="12">
        <f>SUMIF(Table1[CustomerID],A192,Table1[TransactionAmount])</f>
        <v>527.97</v>
      </c>
      <c r="E192" t="str">
        <f t="shared" si="13"/>
        <v>113</v>
      </c>
      <c r="F192" t="str">
        <f t="shared" si="14"/>
        <v>Needs Attention</v>
      </c>
      <c r="J192">
        <f t="shared" si="15"/>
        <v>1</v>
      </c>
      <c r="K192">
        <f t="shared" si="16"/>
        <v>1</v>
      </c>
      <c r="L192">
        <f t="shared" si="17"/>
        <v>3</v>
      </c>
    </row>
    <row r="193" spans="1:12" x14ac:dyDescent="0.35">
      <c r="A193">
        <v>2816</v>
      </c>
      <c r="B193" s="3">
        <f>H$6-_xlfn.MAXIFS(Table1[PurchaseDate],Table1[CustomerID],A193)</f>
        <v>42</v>
      </c>
      <c r="C193">
        <f>COUNTIF(Table1[CustomerID],A193)</f>
        <v>1</v>
      </c>
      <c r="D193" s="12">
        <f>SUMIF(Table1[CustomerID],A193,Table1[TransactionAmount])</f>
        <v>681.44</v>
      </c>
      <c r="E193" t="str">
        <f t="shared" si="13"/>
        <v>214</v>
      </c>
      <c r="F193" t="str">
        <f t="shared" si="14"/>
        <v>Needs Attention</v>
      </c>
      <c r="J193">
        <f t="shared" si="15"/>
        <v>2</v>
      </c>
      <c r="K193">
        <f t="shared" si="16"/>
        <v>1</v>
      </c>
      <c r="L193">
        <f t="shared" si="17"/>
        <v>4</v>
      </c>
    </row>
    <row r="194" spans="1:12" x14ac:dyDescent="0.35">
      <c r="A194">
        <v>2824</v>
      </c>
      <c r="B194" s="3">
        <f>H$6-_xlfn.MAXIFS(Table1[PurchaseDate],Table1[CustomerID],A194)</f>
        <v>59</v>
      </c>
      <c r="C194">
        <f>COUNTIF(Table1[CustomerID],A194)</f>
        <v>1</v>
      </c>
      <c r="D194" s="12">
        <f>SUMIF(Table1[CustomerID],A194,Table1[TransactionAmount])</f>
        <v>744.13</v>
      </c>
      <c r="E194" t="str">
        <f t="shared" si="13"/>
        <v>114</v>
      </c>
      <c r="F194" t="str">
        <f t="shared" si="14"/>
        <v>Needs Attention</v>
      </c>
      <c r="J194">
        <f t="shared" si="15"/>
        <v>1</v>
      </c>
      <c r="K194">
        <f t="shared" si="16"/>
        <v>1</v>
      </c>
      <c r="L194">
        <f t="shared" si="17"/>
        <v>4</v>
      </c>
    </row>
    <row r="195" spans="1:12" x14ac:dyDescent="0.35">
      <c r="A195">
        <v>2832</v>
      </c>
      <c r="B195" s="3">
        <f>H$6-_xlfn.MAXIFS(Table1[PurchaseDate],Table1[CustomerID],A195)</f>
        <v>56</v>
      </c>
      <c r="C195">
        <f>COUNTIF(Table1[CustomerID],A195)</f>
        <v>1</v>
      </c>
      <c r="D195" s="12">
        <f>SUMIF(Table1[CustomerID],A195,Table1[TransactionAmount])</f>
        <v>945.6</v>
      </c>
      <c r="E195" t="str">
        <f t="shared" si="13"/>
        <v>115</v>
      </c>
      <c r="F195" t="str">
        <f t="shared" si="14"/>
        <v>Needs Attention</v>
      </c>
      <c r="J195">
        <f t="shared" si="15"/>
        <v>1</v>
      </c>
      <c r="K195">
        <f t="shared" si="16"/>
        <v>1</v>
      </c>
      <c r="L195">
        <f t="shared" si="17"/>
        <v>5</v>
      </c>
    </row>
    <row r="196" spans="1:12" x14ac:dyDescent="0.35">
      <c r="A196">
        <v>2843</v>
      </c>
      <c r="B196" s="3">
        <f>H$6-_xlfn.MAXIFS(Table1[PurchaseDate],Table1[CustomerID],A196)</f>
        <v>34</v>
      </c>
      <c r="C196">
        <f>COUNTIF(Table1[CustomerID],A196)</f>
        <v>1</v>
      </c>
      <c r="D196" s="12">
        <f>SUMIF(Table1[CustomerID],A196,Table1[TransactionAmount])</f>
        <v>158.15</v>
      </c>
      <c r="E196" t="str">
        <f t="shared" ref="E196:E259" si="18">J196&amp;K196&amp;L196</f>
        <v>311</v>
      </c>
      <c r="F196" t="str">
        <f t="shared" ref="F196:F259" si="19">IF(AND(J196&gt;=4,K196&gt;=3,L196&gt;=4),"Champions",IF(AND(J196&gt;=3,K196&gt;=2,L196&gt;=3),"Loyal Customers",IF(AND(J196&gt;=3,L196&gt;=3),"Potential Loyalists",IF(AND(J196&lt;=2,L196&lt;=2),"At Risk","Needs Attention"))))</f>
        <v>Needs Attention</v>
      </c>
      <c r="J196">
        <f t="shared" ref="J196:J259" si="20">ROUNDUP((COUNT($B$3:$B$948)-_xlfn.RANK.EQ(B196,$B$3:$B$948,1)+1)/COUNT($B$3:$B$948)*5,0)</f>
        <v>3</v>
      </c>
      <c r="K196">
        <f t="shared" ref="K196:K259" si="21">IF(C196=1,1,IF(C196=2,3,IF(C196=3,4,5)))</f>
        <v>1</v>
      </c>
      <c r="L196">
        <f t="shared" ref="L196:L259" si="22">IF(D196&gt;=_xlfn.PERCENTILE.INC($D$3:$D$948,0.8),5,IF(D196&gt;=_xlfn.PERCENTILE.INC($D$3:$D$948,0.6),4,IF(D196&gt;=_xlfn.PERCENTILE.INC($D$3:$D$948,0.4),3,IF(D196&gt;=_xlfn.PERCENTILE.INC($D$3:$D$948,0.2),2,1))))</f>
        <v>1</v>
      </c>
    </row>
    <row r="197" spans="1:12" x14ac:dyDescent="0.35">
      <c r="A197">
        <v>2847</v>
      </c>
      <c r="B197" s="3">
        <f>H$6-_xlfn.MAXIFS(Table1[PurchaseDate],Table1[CustomerID],A197)</f>
        <v>45</v>
      </c>
      <c r="C197">
        <f>COUNTIF(Table1[CustomerID],A197)</f>
        <v>1</v>
      </c>
      <c r="D197" s="12">
        <f>SUMIF(Table1[CustomerID],A197,Table1[TransactionAmount])</f>
        <v>504.59</v>
      </c>
      <c r="E197" t="str">
        <f t="shared" si="18"/>
        <v>213</v>
      </c>
      <c r="F197" t="str">
        <f t="shared" si="19"/>
        <v>Needs Attention</v>
      </c>
      <c r="J197">
        <f t="shared" si="20"/>
        <v>2</v>
      </c>
      <c r="K197">
        <f t="shared" si="21"/>
        <v>1</v>
      </c>
      <c r="L197">
        <f t="shared" si="22"/>
        <v>3</v>
      </c>
    </row>
    <row r="198" spans="1:12" x14ac:dyDescent="0.35">
      <c r="A198">
        <v>2848</v>
      </c>
      <c r="B198" s="3">
        <f>H$6-_xlfn.MAXIFS(Table1[PurchaseDate],Table1[CustomerID],A198)</f>
        <v>58</v>
      </c>
      <c r="C198">
        <f>COUNTIF(Table1[CustomerID],A198)</f>
        <v>1</v>
      </c>
      <c r="D198" s="12">
        <f>SUMIF(Table1[CustomerID],A198,Table1[TransactionAmount])</f>
        <v>811.38</v>
      </c>
      <c r="E198" t="str">
        <f t="shared" si="18"/>
        <v>114</v>
      </c>
      <c r="F198" t="str">
        <f t="shared" si="19"/>
        <v>Needs Attention</v>
      </c>
      <c r="J198">
        <f t="shared" si="20"/>
        <v>1</v>
      </c>
      <c r="K198">
        <f t="shared" si="21"/>
        <v>1</v>
      </c>
      <c r="L198">
        <f t="shared" si="22"/>
        <v>4</v>
      </c>
    </row>
    <row r="199" spans="1:12" x14ac:dyDescent="0.35">
      <c r="A199">
        <v>2869</v>
      </c>
      <c r="B199" s="3">
        <f>H$6-_xlfn.MAXIFS(Table1[PurchaseDate],Table1[CustomerID],A199)</f>
        <v>8</v>
      </c>
      <c r="C199">
        <f>COUNTIF(Table1[CustomerID],A199)</f>
        <v>1</v>
      </c>
      <c r="D199" s="12">
        <f>SUMIF(Table1[CustomerID],A199,Table1[TransactionAmount])</f>
        <v>74.69</v>
      </c>
      <c r="E199" t="str">
        <f t="shared" si="18"/>
        <v>511</v>
      </c>
      <c r="F199" t="str">
        <f t="shared" si="19"/>
        <v>Needs Attention</v>
      </c>
      <c r="J199">
        <f t="shared" si="20"/>
        <v>5</v>
      </c>
      <c r="K199">
        <f t="shared" si="21"/>
        <v>1</v>
      </c>
      <c r="L199">
        <f t="shared" si="22"/>
        <v>1</v>
      </c>
    </row>
    <row r="200" spans="1:12" x14ac:dyDescent="0.35">
      <c r="A200">
        <v>2879</v>
      </c>
      <c r="B200" s="3">
        <f>H$6-_xlfn.MAXIFS(Table1[PurchaseDate],Table1[CustomerID],A200)</f>
        <v>18</v>
      </c>
      <c r="C200">
        <f>COUNTIF(Table1[CustomerID],A200)</f>
        <v>1</v>
      </c>
      <c r="D200" s="12">
        <f>SUMIF(Table1[CustomerID],A200,Table1[TransactionAmount])</f>
        <v>352.55</v>
      </c>
      <c r="E200" t="str">
        <f t="shared" si="18"/>
        <v>412</v>
      </c>
      <c r="F200" t="str">
        <f t="shared" si="19"/>
        <v>Needs Attention</v>
      </c>
      <c r="J200">
        <f t="shared" si="20"/>
        <v>4</v>
      </c>
      <c r="K200">
        <f t="shared" si="21"/>
        <v>1</v>
      </c>
      <c r="L200">
        <f t="shared" si="22"/>
        <v>2</v>
      </c>
    </row>
    <row r="201" spans="1:12" x14ac:dyDescent="0.35">
      <c r="A201">
        <v>2882</v>
      </c>
      <c r="B201" s="3">
        <f>H$6-_xlfn.MAXIFS(Table1[PurchaseDate],Table1[CustomerID],A201)</f>
        <v>12</v>
      </c>
      <c r="C201">
        <f>COUNTIF(Table1[CustomerID],A201)</f>
        <v>1</v>
      </c>
      <c r="D201" s="12">
        <f>SUMIF(Table1[CustomerID],A201,Table1[TransactionAmount])</f>
        <v>285.77999999999997</v>
      </c>
      <c r="E201" t="str">
        <f t="shared" si="18"/>
        <v>512</v>
      </c>
      <c r="F201" t="str">
        <f t="shared" si="19"/>
        <v>Needs Attention</v>
      </c>
      <c r="J201">
        <f t="shared" si="20"/>
        <v>5</v>
      </c>
      <c r="K201">
        <f t="shared" si="21"/>
        <v>1</v>
      </c>
      <c r="L201">
        <f t="shared" si="22"/>
        <v>2</v>
      </c>
    </row>
    <row r="202" spans="1:12" x14ac:dyDescent="0.35">
      <c r="A202">
        <v>2890</v>
      </c>
      <c r="B202" s="3">
        <f>H$6-_xlfn.MAXIFS(Table1[PurchaseDate],Table1[CustomerID],A202)</f>
        <v>12</v>
      </c>
      <c r="C202">
        <f>COUNTIF(Table1[CustomerID],A202)</f>
        <v>1</v>
      </c>
      <c r="D202" s="12">
        <f>SUMIF(Table1[CustomerID],A202,Table1[TransactionAmount])</f>
        <v>358.72</v>
      </c>
      <c r="E202" t="str">
        <f t="shared" si="18"/>
        <v>512</v>
      </c>
      <c r="F202" t="str">
        <f t="shared" si="19"/>
        <v>Needs Attention</v>
      </c>
      <c r="J202">
        <f t="shared" si="20"/>
        <v>5</v>
      </c>
      <c r="K202">
        <f t="shared" si="21"/>
        <v>1</v>
      </c>
      <c r="L202">
        <f t="shared" si="22"/>
        <v>2</v>
      </c>
    </row>
    <row r="203" spans="1:12" x14ac:dyDescent="0.35">
      <c r="A203">
        <v>2902</v>
      </c>
      <c r="B203" s="3">
        <f>H$6-_xlfn.MAXIFS(Table1[PurchaseDate],Table1[CustomerID],A203)</f>
        <v>54</v>
      </c>
      <c r="C203">
        <f>COUNTIF(Table1[CustomerID],A203)</f>
        <v>1</v>
      </c>
      <c r="D203" s="12">
        <f>SUMIF(Table1[CustomerID],A203,Table1[TransactionAmount])</f>
        <v>242.45</v>
      </c>
      <c r="E203" t="str">
        <f t="shared" si="18"/>
        <v>112</v>
      </c>
      <c r="F203" t="str">
        <f t="shared" si="19"/>
        <v>At Risk</v>
      </c>
      <c r="J203">
        <f t="shared" si="20"/>
        <v>1</v>
      </c>
      <c r="K203">
        <f t="shared" si="21"/>
        <v>1</v>
      </c>
      <c r="L203">
        <f t="shared" si="22"/>
        <v>2</v>
      </c>
    </row>
    <row r="204" spans="1:12" x14ac:dyDescent="0.35">
      <c r="A204">
        <v>2911</v>
      </c>
      <c r="B204" s="3">
        <f>H$6-_xlfn.MAXIFS(Table1[PurchaseDate],Table1[CustomerID],A204)</f>
        <v>52</v>
      </c>
      <c r="C204">
        <f>COUNTIF(Table1[CustomerID],A204)</f>
        <v>1</v>
      </c>
      <c r="D204" s="12">
        <f>SUMIF(Table1[CustomerID],A204,Table1[TransactionAmount])</f>
        <v>54.89</v>
      </c>
      <c r="E204" t="str">
        <f t="shared" si="18"/>
        <v>111</v>
      </c>
      <c r="F204" t="str">
        <f t="shared" si="19"/>
        <v>At Risk</v>
      </c>
      <c r="J204">
        <f t="shared" si="20"/>
        <v>1</v>
      </c>
      <c r="K204">
        <f t="shared" si="21"/>
        <v>1</v>
      </c>
      <c r="L204">
        <f t="shared" si="22"/>
        <v>1</v>
      </c>
    </row>
    <row r="205" spans="1:12" x14ac:dyDescent="0.35">
      <c r="A205">
        <v>2926</v>
      </c>
      <c r="B205" s="3">
        <f>H$6-_xlfn.MAXIFS(Table1[PurchaseDate],Table1[CustomerID],A205)</f>
        <v>3</v>
      </c>
      <c r="C205">
        <f>COUNTIF(Table1[CustomerID],A205)</f>
        <v>1</v>
      </c>
      <c r="D205" s="12">
        <f>SUMIF(Table1[CustomerID],A205,Table1[TransactionAmount])</f>
        <v>140.26</v>
      </c>
      <c r="E205" t="str">
        <f t="shared" si="18"/>
        <v>511</v>
      </c>
      <c r="F205" t="str">
        <f t="shared" si="19"/>
        <v>Needs Attention</v>
      </c>
      <c r="J205">
        <f t="shared" si="20"/>
        <v>5</v>
      </c>
      <c r="K205">
        <f t="shared" si="21"/>
        <v>1</v>
      </c>
      <c r="L205">
        <f t="shared" si="22"/>
        <v>1</v>
      </c>
    </row>
    <row r="206" spans="1:12" x14ac:dyDescent="0.35">
      <c r="A206">
        <v>2940</v>
      </c>
      <c r="B206" s="3">
        <f>H$6-_xlfn.MAXIFS(Table1[PurchaseDate],Table1[CustomerID],A206)</f>
        <v>25</v>
      </c>
      <c r="C206">
        <f>COUNTIF(Table1[CustomerID],A206)</f>
        <v>1</v>
      </c>
      <c r="D206" s="12">
        <f>SUMIF(Table1[CustomerID],A206,Table1[TransactionAmount])</f>
        <v>766.8</v>
      </c>
      <c r="E206" t="str">
        <f t="shared" si="18"/>
        <v>314</v>
      </c>
      <c r="F206" t="str">
        <f t="shared" si="19"/>
        <v>Potential Loyalists</v>
      </c>
      <c r="J206">
        <f t="shared" si="20"/>
        <v>3</v>
      </c>
      <c r="K206">
        <f t="shared" si="21"/>
        <v>1</v>
      </c>
      <c r="L206">
        <f t="shared" si="22"/>
        <v>4</v>
      </c>
    </row>
    <row r="207" spans="1:12" x14ac:dyDescent="0.35">
      <c r="A207">
        <v>2964</v>
      </c>
      <c r="B207" s="3">
        <f>H$6-_xlfn.MAXIFS(Table1[PurchaseDate],Table1[CustomerID],A207)</f>
        <v>2</v>
      </c>
      <c r="C207">
        <f>COUNTIF(Table1[CustomerID],A207)</f>
        <v>1</v>
      </c>
      <c r="D207" s="12">
        <f>SUMIF(Table1[CustomerID],A207,Table1[TransactionAmount])</f>
        <v>87.7</v>
      </c>
      <c r="E207" t="str">
        <f t="shared" si="18"/>
        <v>511</v>
      </c>
      <c r="F207" t="str">
        <f t="shared" si="19"/>
        <v>Needs Attention</v>
      </c>
      <c r="J207">
        <f t="shared" si="20"/>
        <v>5</v>
      </c>
      <c r="K207">
        <f t="shared" si="21"/>
        <v>1</v>
      </c>
      <c r="L207">
        <f t="shared" si="22"/>
        <v>1</v>
      </c>
    </row>
    <row r="208" spans="1:12" x14ac:dyDescent="0.35">
      <c r="A208">
        <v>2970</v>
      </c>
      <c r="B208" s="3">
        <f>H$6-_xlfn.MAXIFS(Table1[PurchaseDate],Table1[CustomerID],A208)</f>
        <v>0</v>
      </c>
      <c r="C208">
        <f>COUNTIF(Table1[CustomerID],A208)</f>
        <v>1</v>
      </c>
      <c r="D208" s="12">
        <f>SUMIF(Table1[CustomerID],A208,Table1[TransactionAmount])</f>
        <v>759.62</v>
      </c>
      <c r="E208" t="str">
        <f t="shared" si="18"/>
        <v>514</v>
      </c>
      <c r="F208" t="str">
        <f t="shared" si="19"/>
        <v>Potential Loyalists</v>
      </c>
      <c r="J208">
        <f t="shared" si="20"/>
        <v>5</v>
      </c>
      <c r="K208">
        <f t="shared" si="21"/>
        <v>1</v>
      </c>
      <c r="L208">
        <f t="shared" si="22"/>
        <v>4</v>
      </c>
    </row>
    <row r="209" spans="1:12" x14ac:dyDescent="0.35">
      <c r="A209">
        <v>2975</v>
      </c>
      <c r="B209" s="3">
        <f>H$6-_xlfn.MAXIFS(Table1[PurchaseDate],Table1[CustomerID],A209)</f>
        <v>5</v>
      </c>
      <c r="C209">
        <f>COUNTIF(Table1[CustomerID],A209)</f>
        <v>1</v>
      </c>
      <c r="D209" s="12">
        <f>SUMIF(Table1[CustomerID],A209,Table1[TransactionAmount])</f>
        <v>428.09</v>
      </c>
      <c r="E209" t="str">
        <f t="shared" si="18"/>
        <v>512</v>
      </c>
      <c r="F209" t="str">
        <f t="shared" si="19"/>
        <v>Needs Attention</v>
      </c>
      <c r="J209">
        <f t="shared" si="20"/>
        <v>5</v>
      </c>
      <c r="K209">
        <f t="shared" si="21"/>
        <v>1</v>
      </c>
      <c r="L209">
        <f t="shared" si="22"/>
        <v>2</v>
      </c>
    </row>
    <row r="210" spans="1:12" x14ac:dyDescent="0.35">
      <c r="A210">
        <v>2982</v>
      </c>
      <c r="B210" s="3">
        <f>H$6-_xlfn.MAXIFS(Table1[PurchaseDate],Table1[CustomerID],A210)</f>
        <v>45</v>
      </c>
      <c r="C210">
        <f>COUNTIF(Table1[CustomerID],A210)</f>
        <v>1</v>
      </c>
      <c r="D210" s="12">
        <f>SUMIF(Table1[CustomerID],A210,Table1[TransactionAmount])</f>
        <v>232.45</v>
      </c>
      <c r="E210" t="str">
        <f t="shared" si="18"/>
        <v>212</v>
      </c>
      <c r="F210" t="str">
        <f t="shared" si="19"/>
        <v>At Risk</v>
      </c>
      <c r="J210">
        <f t="shared" si="20"/>
        <v>2</v>
      </c>
      <c r="K210">
        <f t="shared" si="21"/>
        <v>1</v>
      </c>
      <c r="L210">
        <f t="shared" si="22"/>
        <v>2</v>
      </c>
    </row>
    <row r="211" spans="1:12" x14ac:dyDescent="0.35">
      <c r="A211">
        <v>2988</v>
      </c>
      <c r="B211" s="3">
        <f>H$6-_xlfn.MAXIFS(Table1[PurchaseDate],Table1[CustomerID],A211)</f>
        <v>31</v>
      </c>
      <c r="C211">
        <f>COUNTIF(Table1[CustomerID],A211)</f>
        <v>1</v>
      </c>
      <c r="D211" s="12">
        <f>SUMIF(Table1[CustomerID],A211,Table1[TransactionAmount])</f>
        <v>142.01</v>
      </c>
      <c r="E211" t="str">
        <f t="shared" si="18"/>
        <v>311</v>
      </c>
      <c r="F211" t="str">
        <f t="shared" si="19"/>
        <v>Needs Attention</v>
      </c>
      <c r="J211">
        <f t="shared" si="20"/>
        <v>3</v>
      </c>
      <c r="K211">
        <f t="shared" si="21"/>
        <v>1</v>
      </c>
      <c r="L211">
        <f t="shared" si="22"/>
        <v>1</v>
      </c>
    </row>
    <row r="212" spans="1:12" x14ac:dyDescent="0.35">
      <c r="A212">
        <v>2999</v>
      </c>
      <c r="B212" s="3">
        <f>H$6-_xlfn.MAXIFS(Table1[PurchaseDate],Table1[CustomerID],A212)</f>
        <v>16</v>
      </c>
      <c r="C212">
        <f>COUNTIF(Table1[CustomerID],A212)</f>
        <v>1</v>
      </c>
      <c r="D212" s="12">
        <f>SUMIF(Table1[CustomerID],A212,Table1[TransactionAmount])</f>
        <v>860.81</v>
      </c>
      <c r="E212" t="str">
        <f t="shared" si="18"/>
        <v>415</v>
      </c>
      <c r="F212" t="str">
        <f t="shared" si="19"/>
        <v>Potential Loyalists</v>
      </c>
      <c r="J212">
        <f t="shared" si="20"/>
        <v>4</v>
      </c>
      <c r="K212">
        <f t="shared" si="21"/>
        <v>1</v>
      </c>
      <c r="L212">
        <f t="shared" si="22"/>
        <v>5</v>
      </c>
    </row>
    <row r="213" spans="1:12" x14ac:dyDescent="0.35">
      <c r="A213">
        <v>3024</v>
      </c>
      <c r="B213" s="3">
        <f>H$6-_xlfn.MAXIFS(Table1[PurchaseDate],Table1[CustomerID],A213)</f>
        <v>25</v>
      </c>
      <c r="C213">
        <f>COUNTIF(Table1[CustomerID],A213)</f>
        <v>1</v>
      </c>
      <c r="D213" s="12">
        <f>SUMIF(Table1[CustomerID],A213,Table1[TransactionAmount])</f>
        <v>260.20999999999998</v>
      </c>
      <c r="E213" t="str">
        <f t="shared" si="18"/>
        <v>312</v>
      </c>
      <c r="F213" t="str">
        <f t="shared" si="19"/>
        <v>Needs Attention</v>
      </c>
      <c r="J213">
        <f t="shared" si="20"/>
        <v>3</v>
      </c>
      <c r="K213">
        <f t="shared" si="21"/>
        <v>1</v>
      </c>
      <c r="L213">
        <f t="shared" si="22"/>
        <v>2</v>
      </c>
    </row>
    <row r="214" spans="1:12" x14ac:dyDescent="0.35">
      <c r="A214">
        <v>3041</v>
      </c>
      <c r="B214" s="3">
        <f>H$6-_xlfn.MAXIFS(Table1[PurchaseDate],Table1[CustomerID],A214)</f>
        <v>14</v>
      </c>
      <c r="C214">
        <f>COUNTIF(Table1[CustomerID],A214)</f>
        <v>1</v>
      </c>
      <c r="D214" s="12">
        <f>SUMIF(Table1[CustomerID],A214,Table1[TransactionAmount])</f>
        <v>901.05</v>
      </c>
      <c r="E214" t="str">
        <f t="shared" si="18"/>
        <v>415</v>
      </c>
      <c r="F214" t="str">
        <f t="shared" si="19"/>
        <v>Potential Loyalists</v>
      </c>
      <c r="J214">
        <f t="shared" si="20"/>
        <v>4</v>
      </c>
      <c r="K214">
        <f t="shared" si="21"/>
        <v>1</v>
      </c>
      <c r="L214">
        <f t="shared" si="22"/>
        <v>5</v>
      </c>
    </row>
    <row r="215" spans="1:12" x14ac:dyDescent="0.35">
      <c r="A215">
        <v>3048</v>
      </c>
      <c r="B215" s="3">
        <f>H$6-_xlfn.MAXIFS(Table1[PurchaseDate],Table1[CustomerID],A215)</f>
        <v>14</v>
      </c>
      <c r="C215">
        <f>COUNTIF(Table1[CustomerID],A215)</f>
        <v>1</v>
      </c>
      <c r="D215" s="12">
        <f>SUMIF(Table1[CustomerID],A215,Table1[TransactionAmount])</f>
        <v>242.28</v>
      </c>
      <c r="E215" t="str">
        <f t="shared" si="18"/>
        <v>412</v>
      </c>
      <c r="F215" t="str">
        <f t="shared" si="19"/>
        <v>Needs Attention</v>
      </c>
      <c r="J215">
        <f t="shared" si="20"/>
        <v>4</v>
      </c>
      <c r="K215">
        <f t="shared" si="21"/>
        <v>1</v>
      </c>
      <c r="L215">
        <f t="shared" si="22"/>
        <v>2</v>
      </c>
    </row>
    <row r="216" spans="1:12" x14ac:dyDescent="0.35">
      <c r="A216">
        <v>3103</v>
      </c>
      <c r="B216" s="3">
        <f>H$6-_xlfn.MAXIFS(Table1[PurchaseDate],Table1[CustomerID],A216)</f>
        <v>54</v>
      </c>
      <c r="C216">
        <f>COUNTIF(Table1[CustomerID],A216)</f>
        <v>1</v>
      </c>
      <c r="D216" s="12">
        <f>SUMIF(Table1[CustomerID],A216,Table1[TransactionAmount])</f>
        <v>393.53</v>
      </c>
      <c r="E216" t="str">
        <f t="shared" si="18"/>
        <v>112</v>
      </c>
      <c r="F216" t="str">
        <f t="shared" si="19"/>
        <v>At Risk</v>
      </c>
      <c r="J216">
        <f t="shared" si="20"/>
        <v>1</v>
      </c>
      <c r="K216">
        <f t="shared" si="21"/>
        <v>1</v>
      </c>
      <c r="L216">
        <f t="shared" si="22"/>
        <v>2</v>
      </c>
    </row>
    <row r="217" spans="1:12" x14ac:dyDescent="0.35">
      <c r="A217">
        <v>3110</v>
      </c>
      <c r="B217" s="3">
        <f>H$6-_xlfn.MAXIFS(Table1[PurchaseDate],Table1[CustomerID],A217)</f>
        <v>55</v>
      </c>
      <c r="C217">
        <f>COUNTIF(Table1[CustomerID],A217)</f>
        <v>1</v>
      </c>
      <c r="D217" s="12">
        <f>SUMIF(Table1[CustomerID],A217,Table1[TransactionAmount])</f>
        <v>906.03</v>
      </c>
      <c r="E217" t="str">
        <f t="shared" si="18"/>
        <v>115</v>
      </c>
      <c r="F217" t="str">
        <f t="shared" si="19"/>
        <v>Needs Attention</v>
      </c>
      <c r="J217">
        <f t="shared" si="20"/>
        <v>1</v>
      </c>
      <c r="K217">
        <f t="shared" si="21"/>
        <v>1</v>
      </c>
      <c r="L217">
        <f t="shared" si="22"/>
        <v>5</v>
      </c>
    </row>
    <row r="218" spans="1:12" x14ac:dyDescent="0.35">
      <c r="A218">
        <v>3114</v>
      </c>
      <c r="B218" s="3">
        <f>H$6-_xlfn.MAXIFS(Table1[PurchaseDate],Table1[CustomerID],A218)</f>
        <v>33</v>
      </c>
      <c r="C218">
        <f>COUNTIF(Table1[CustomerID],A218)</f>
        <v>1</v>
      </c>
      <c r="D218" s="12">
        <f>SUMIF(Table1[CustomerID],A218,Table1[TransactionAmount])</f>
        <v>507.84</v>
      </c>
      <c r="E218" t="str">
        <f t="shared" si="18"/>
        <v>313</v>
      </c>
      <c r="F218" t="str">
        <f t="shared" si="19"/>
        <v>Potential Loyalists</v>
      </c>
      <c r="J218">
        <f t="shared" si="20"/>
        <v>3</v>
      </c>
      <c r="K218">
        <f t="shared" si="21"/>
        <v>1</v>
      </c>
      <c r="L218">
        <f t="shared" si="22"/>
        <v>3</v>
      </c>
    </row>
    <row r="219" spans="1:12" x14ac:dyDescent="0.35">
      <c r="A219">
        <v>3120</v>
      </c>
      <c r="B219" s="3">
        <f>H$6-_xlfn.MAXIFS(Table1[PurchaseDate],Table1[CustomerID],A219)</f>
        <v>21</v>
      </c>
      <c r="C219">
        <f>COUNTIF(Table1[CustomerID],A219)</f>
        <v>1</v>
      </c>
      <c r="D219" s="12">
        <f>SUMIF(Table1[CustomerID],A219,Table1[TransactionAmount])</f>
        <v>439.37</v>
      </c>
      <c r="E219" t="str">
        <f t="shared" si="18"/>
        <v>412</v>
      </c>
      <c r="F219" t="str">
        <f t="shared" si="19"/>
        <v>Needs Attention</v>
      </c>
      <c r="J219">
        <f t="shared" si="20"/>
        <v>4</v>
      </c>
      <c r="K219">
        <f t="shared" si="21"/>
        <v>1</v>
      </c>
      <c r="L219">
        <f t="shared" si="22"/>
        <v>2</v>
      </c>
    </row>
    <row r="220" spans="1:12" x14ac:dyDescent="0.35">
      <c r="A220">
        <v>3131</v>
      </c>
      <c r="B220" s="3">
        <f>H$6-_xlfn.MAXIFS(Table1[PurchaseDate],Table1[CustomerID],A220)</f>
        <v>50</v>
      </c>
      <c r="C220">
        <f>COUNTIF(Table1[CustomerID],A220)</f>
        <v>1</v>
      </c>
      <c r="D220" s="12">
        <f>SUMIF(Table1[CustomerID],A220,Table1[TransactionAmount])</f>
        <v>588.15</v>
      </c>
      <c r="E220" t="str">
        <f t="shared" si="18"/>
        <v>113</v>
      </c>
      <c r="F220" t="str">
        <f t="shared" si="19"/>
        <v>Needs Attention</v>
      </c>
      <c r="J220">
        <f t="shared" si="20"/>
        <v>1</v>
      </c>
      <c r="K220">
        <f t="shared" si="21"/>
        <v>1</v>
      </c>
      <c r="L220">
        <f t="shared" si="22"/>
        <v>3</v>
      </c>
    </row>
    <row r="221" spans="1:12" x14ac:dyDescent="0.35">
      <c r="A221">
        <v>3140</v>
      </c>
      <c r="B221" s="3">
        <f>H$6-_xlfn.MAXIFS(Table1[PurchaseDate],Table1[CustomerID],A221)</f>
        <v>30</v>
      </c>
      <c r="C221">
        <f>COUNTIF(Table1[CustomerID],A221)</f>
        <v>1</v>
      </c>
      <c r="D221" s="12">
        <f>SUMIF(Table1[CustomerID],A221,Table1[TransactionAmount])</f>
        <v>921.19</v>
      </c>
      <c r="E221" t="str">
        <f t="shared" si="18"/>
        <v>315</v>
      </c>
      <c r="F221" t="str">
        <f t="shared" si="19"/>
        <v>Potential Loyalists</v>
      </c>
      <c r="J221">
        <f t="shared" si="20"/>
        <v>3</v>
      </c>
      <c r="K221">
        <f t="shared" si="21"/>
        <v>1</v>
      </c>
      <c r="L221">
        <f t="shared" si="22"/>
        <v>5</v>
      </c>
    </row>
    <row r="222" spans="1:12" x14ac:dyDescent="0.35">
      <c r="A222">
        <v>3148</v>
      </c>
      <c r="B222" s="3">
        <f>H$6-_xlfn.MAXIFS(Table1[PurchaseDate],Table1[CustomerID],A222)</f>
        <v>24</v>
      </c>
      <c r="C222">
        <f>COUNTIF(Table1[CustomerID],A222)</f>
        <v>1</v>
      </c>
      <c r="D222" s="12">
        <f>SUMIF(Table1[CustomerID],A222,Table1[TransactionAmount])</f>
        <v>689.15</v>
      </c>
      <c r="E222" t="str">
        <f t="shared" si="18"/>
        <v>414</v>
      </c>
      <c r="F222" t="str">
        <f t="shared" si="19"/>
        <v>Potential Loyalists</v>
      </c>
      <c r="J222">
        <f t="shared" si="20"/>
        <v>4</v>
      </c>
      <c r="K222">
        <f t="shared" si="21"/>
        <v>1</v>
      </c>
      <c r="L222">
        <f t="shared" si="22"/>
        <v>4</v>
      </c>
    </row>
    <row r="223" spans="1:12" x14ac:dyDescent="0.35">
      <c r="A223">
        <v>3150</v>
      </c>
      <c r="B223" s="3">
        <f>H$6-_xlfn.MAXIFS(Table1[PurchaseDate],Table1[CustomerID],A223)</f>
        <v>27</v>
      </c>
      <c r="C223">
        <f>COUNTIF(Table1[CustomerID],A223)</f>
        <v>1</v>
      </c>
      <c r="D223" s="12">
        <f>SUMIF(Table1[CustomerID],A223,Table1[TransactionAmount])</f>
        <v>840.13</v>
      </c>
      <c r="E223" t="str">
        <f t="shared" si="18"/>
        <v>315</v>
      </c>
      <c r="F223" t="str">
        <f t="shared" si="19"/>
        <v>Potential Loyalists</v>
      </c>
      <c r="J223">
        <f t="shared" si="20"/>
        <v>3</v>
      </c>
      <c r="K223">
        <f t="shared" si="21"/>
        <v>1</v>
      </c>
      <c r="L223">
        <f t="shared" si="22"/>
        <v>5</v>
      </c>
    </row>
    <row r="224" spans="1:12" x14ac:dyDescent="0.35">
      <c r="A224">
        <v>3153</v>
      </c>
      <c r="B224" s="3">
        <f>H$6-_xlfn.MAXIFS(Table1[PurchaseDate],Table1[CustomerID],A224)</f>
        <v>55</v>
      </c>
      <c r="C224">
        <f>COUNTIF(Table1[CustomerID],A224)</f>
        <v>1</v>
      </c>
      <c r="D224" s="12">
        <f>SUMIF(Table1[CustomerID],A224,Table1[TransactionAmount])</f>
        <v>910.53</v>
      </c>
      <c r="E224" t="str">
        <f t="shared" si="18"/>
        <v>115</v>
      </c>
      <c r="F224" t="str">
        <f t="shared" si="19"/>
        <v>Needs Attention</v>
      </c>
      <c r="J224">
        <f t="shared" si="20"/>
        <v>1</v>
      </c>
      <c r="K224">
        <f t="shared" si="21"/>
        <v>1</v>
      </c>
      <c r="L224">
        <f t="shared" si="22"/>
        <v>5</v>
      </c>
    </row>
    <row r="225" spans="1:12" x14ac:dyDescent="0.35">
      <c r="A225">
        <v>3173</v>
      </c>
      <c r="B225" s="3">
        <f>H$6-_xlfn.MAXIFS(Table1[PurchaseDate],Table1[CustomerID],A225)</f>
        <v>15</v>
      </c>
      <c r="C225">
        <f>COUNTIF(Table1[CustomerID],A225)</f>
        <v>1</v>
      </c>
      <c r="D225" s="12">
        <f>SUMIF(Table1[CustomerID],A225,Table1[TransactionAmount])</f>
        <v>653.59</v>
      </c>
      <c r="E225" t="str">
        <f t="shared" si="18"/>
        <v>414</v>
      </c>
      <c r="F225" t="str">
        <f t="shared" si="19"/>
        <v>Potential Loyalists</v>
      </c>
      <c r="J225">
        <f t="shared" si="20"/>
        <v>4</v>
      </c>
      <c r="K225">
        <f t="shared" si="21"/>
        <v>1</v>
      </c>
      <c r="L225">
        <f t="shared" si="22"/>
        <v>4</v>
      </c>
    </row>
    <row r="226" spans="1:12" x14ac:dyDescent="0.35">
      <c r="A226">
        <v>3174</v>
      </c>
      <c r="B226" s="3">
        <f>H$6-_xlfn.MAXIFS(Table1[PurchaseDate],Table1[CustomerID],A226)</f>
        <v>45</v>
      </c>
      <c r="C226">
        <f>COUNTIF(Table1[CustomerID],A226)</f>
        <v>1</v>
      </c>
      <c r="D226" s="12">
        <f>SUMIF(Table1[CustomerID],A226,Table1[TransactionAmount])</f>
        <v>154.78</v>
      </c>
      <c r="E226" t="str">
        <f t="shared" si="18"/>
        <v>211</v>
      </c>
      <c r="F226" t="str">
        <f t="shared" si="19"/>
        <v>At Risk</v>
      </c>
      <c r="J226">
        <f t="shared" si="20"/>
        <v>2</v>
      </c>
      <c r="K226">
        <f t="shared" si="21"/>
        <v>1</v>
      </c>
      <c r="L226">
        <f t="shared" si="22"/>
        <v>1</v>
      </c>
    </row>
    <row r="227" spans="1:12" x14ac:dyDescent="0.35">
      <c r="A227">
        <v>3194</v>
      </c>
      <c r="B227" s="3">
        <f>H$6-_xlfn.MAXIFS(Table1[PurchaseDate],Table1[CustomerID],A227)</f>
        <v>40</v>
      </c>
      <c r="C227">
        <f>COUNTIF(Table1[CustomerID],A227)</f>
        <v>1</v>
      </c>
      <c r="D227" s="12">
        <f>SUMIF(Table1[CustomerID],A227,Table1[TransactionAmount])</f>
        <v>126.68</v>
      </c>
      <c r="E227" t="str">
        <f t="shared" si="18"/>
        <v>211</v>
      </c>
      <c r="F227" t="str">
        <f t="shared" si="19"/>
        <v>At Risk</v>
      </c>
      <c r="J227">
        <f t="shared" si="20"/>
        <v>2</v>
      </c>
      <c r="K227">
        <f t="shared" si="21"/>
        <v>1</v>
      </c>
      <c r="L227">
        <f t="shared" si="22"/>
        <v>1</v>
      </c>
    </row>
    <row r="228" spans="1:12" x14ac:dyDescent="0.35">
      <c r="A228">
        <v>3196</v>
      </c>
      <c r="B228" s="3">
        <f>H$6-_xlfn.MAXIFS(Table1[PurchaseDate],Table1[CustomerID],A228)</f>
        <v>28</v>
      </c>
      <c r="C228">
        <f>COUNTIF(Table1[CustomerID],A228)</f>
        <v>1</v>
      </c>
      <c r="D228" s="12">
        <f>SUMIF(Table1[CustomerID],A228,Table1[TransactionAmount])</f>
        <v>847.68</v>
      </c>
      <c r="E228" t="str">
        <f t="shared" si="18"/>
        <v>315</v>
      </c>
      <c r="F228" t="str">
        <f t="shared" si="19"/>
        <v>Potential Loyalists</v>
      </c>
      <c r="J228">
        <f t="shared" si="20"/>
        <v>3</v>
      </c>
      <c r="K228">
        <f t="shared" si="21"/>
        <v>1</v>
      </c>
      <c r="L228">
        <f t="shared" si="22"/>
        <v>5</v>
      </c>
    </row>
    <row r="229" spans="1:12" x14ac:dyDescent="0.35">
      <c r="A229">
        <v>3203</v>
      </c>
      <c r="B229" s="3">
        <f>H$6-_xlfn.MAXIFS(Table1[PurchaseDate],Table1[CustomerID],A229)</f>
        <v>3</v>
      </c>
      <c r="C229">
        <f>COUNTIF(Table1[CustomerID],A229)</f>
        <v>1</v>
      </c>
      <c r="D229" s="12">
        <f>SUMIF(Table1[CustomerID],A229,Table1[TransactionAmount])</f>
        <v>850.9</v>
      </c>
      <c r="E229" t="str">
        <f t="shared" si="18"/>
        <v>515</v>
      </c>
      <c r="F229" t="str">
        <f t="shared" si="19"/>
        <v>Potential Loyalists</v>
      </c>
      <c r="J229">
        <f t="shared" si="20"/>
        <v>5</v>
      </c>
      <c r="K229">
        <f t="shared" si="21"/>
        <v>1</v>
      </c>
      <c r="L229">
        <f t="shared" si="22"/>
        <v>5</v>
      </c>
    </row>
    <row r="230" spans="1:12" x14ac:dyDescent="0.35">
      <c r="A230">
        <v>3213</v>
      </c>
      <c r="B230" s="3">
        <f>H$6-_xlfn.MAXIFS(Table1[PurchaseDate],Table1[CustomerID],A230)</f>
        <v>0</v>
      </c>
      <c r="C230">
        <f>COUNTIF(Table1[CustomerID],A230)</f>
        <v>1</v>
      </c>
      <c r="D230" s="12">
        <f>SUMIF(Table1[CustomerID],A230,Table1[TransactionAmount])</f>
        <v>700.65</v>
      </c>
      <c r="E230" t="str">
        <f t="shared" si="18"/>
        <v>514</v>
      </c>
      <c r="F230" t="str">
        <f t="shared" si="19"/>
        <v>Potential Loyalists</v>
      </c>
      <c r="J230">
        <f t="shared" si="20"/>
        <v>5</v>
      </c>
      <c r="K230">
        <f t="shared" si="21"/>
        <v>1</v>
      </c>
      <c r="L230">
        <f t="shared" si="22"/>
        <v>4</v>
      </c>
    </row>
    <row r="231" spans="1:12" x14ac:dyDescent="0.35">
      <c r="A231">
        <v>3219</v>
      </c>
      <c r="B231" s="3">
        <f>H$6-_xlfn.MAXIFS(Table1[PurchaseDate],Table1[CustomerID],A231)</f>
        <v>41</v>
      </c>
      <c r="C231">
        <f>COUNTIF(Table1[CustomerID],A231)</f>
        <v>1</v>
      </c>
      <c r="D231" s="12">
        <f>SUMIF(Table1[CustomerID],A231,Table1[TransactionAmount])</f>
        <v>16.7</v>
      </c>
      <c r="E231" t="str">
        <f t="shared" si="18"/>
        <v>211</v>
      </c>
      <c r="F231" t="str">
        <f t="shared" si="19"/>
        <v>At Risk</v>
      </c>
      <c r="J231">
        <f t="shared" si="20"/>
        <v>2</v>
      </c>
      <c r="K231">
        <f t="shared" si="21"/>
        <v>1</v>
      </c>
      <c r="L231">
        <f t="shared" si="22"/>
        <v>1</v>
      </c>
    </row>
    <row r="232" spans="1:12" x14ac:dyDescent="0.35">
      <c r="A232">
        <v>3221</v>
      </c>
      <c r="B232" s="3">
        <f>H$6-_xlfn.MAXIFS(Table1[PurchaseDate],Table1[CustomerID],A232)</f>
        <v>12</v>
      </c>
      <c r="C232">
        <f>COUNTIF(Table1[CustomerID],A232)</f>
        <v>1</v>
      </c>
      <c r="D232" s="12">
        <f>SUMIF(Table1[CustomerID],A232,Table1[TransactionAmount])</f>
        <v>787.83</v>
      </c>
      <c r="E232" t="str">
        <f t="shared" si="18"/>
        <v>514</v>
      </c>
      <c r="F232" t="str">
        <f t="shared" si="19"/>
        <v>Potential Loyalists</v>
      </c>
      <c r="J232">
        <f t="shared" si="20"/>
        <v>5</v>
      </c>
      <c r="K232">
        <f t="shared" si="21"/>
        <v>1</v>
      </c>
      <c r="L232">
        <f t="shared" si="22"/>
        <v>4</v>
      </c>
    </row>
    <row r="233" spans="1:12" x14ac:dyDescent="0.35">
      <c r="A233">
        <v>3223</v>
      </c>
      <c r="B233" s="3">
        <f>H$6-_xlfn.MAXIFS(Table1[PurchaseDate],Table1[CustomerID],A233)</f>
        <v>5</v>
      </c>
      <c r="C233">
        <f>COUNTIF(Table1[CustomerID],A233)</f>
        <v>1</v>
      </c>
      <c r="D233" s="12">
        <f>SUMIF(Table1[CustomerID],A233,Table1[TransactionAmount])</f>
        <v>467.08</v>
      </c>
      <c r="E233" t="str">
        <f t="shared" si="18"/>
        <v>513</v>
      </c>
      <c r="F233" t="str">
        <f t="shared" si="19"/>
        <v>Potential Loyalists</v>
      </c>
      <c r="J233">
        <f t="shared" si="20"/>
        <v>5</v>
      </c>
      <c r="K233">
        <f t="shared" si="21"/>
        <v>1</v>
      </c>
      <c r="L233">
        <f t="shared" si="22"/>
        <v>3</v>
      </c>
    </row>
    <row r="234" spans="1:12" x14ac:dyDescent="0.35">
      <c r="A234">
        <v>3230</v>
      </c>
      <c r="B234" s="3">
        <f>H$6-_xlfn.MAXIFS(Table1[PurchaseDate],Table1[CustomerID],A234)</f>
        <v>11</v>
      </c>
      <c r="C234">
        <f>COUNTIF(Table1[CustomerID],A234)</f>
        <v>1</v>
      </c>
      <c r="D234" s="12">
        <f>SUMIF(Table1[CustomerID],A234,Table1[TransactionAmount])</f>
        <v>772.45</v>
      </c>
      <c r="E234" t="str">
        <f t="shared" si="18"/>
        <v>514</v>
      </c>
      <c r="F234" t="str">
        <f t="shared" si="19"/>
        <v>Potential Loyalists</v>
      </c>
      <c r="J234">
        <f t="shared" si="20"/>
        <v>5</v>
      </c>
      <c r="K234">
        <f t="shared" si="21"/>
        <v>1</v>
      </c>
      <c r="L234">
        <f t="shared" si="22"/>
        <v>4</v>
      </c>
    </row>
    <row r="235" spans="1:12" x14ac:dyDescent="0.35">
      <c r="A235">
        <v>3248</v>
      </c>
      <c r="B235" s="3">
        <f>H$6-_xlfn.MAXIFS(Table1[PurchaseDate],Table1[CustomerID],A235)</f>
        <v>16</v>
      </c>
      <c r="C235">
        <f>COUNTIF(Table1[CustomerID],A235)</f>
        <v>1</v>
      </c>
      <c r="D235" s="12">
        <f>SUMIF(Table1[CustomerID],A235,Table1[TransactionAmount])</f>
        <v>21.24</v>
      </c>
      <c r="E235" t="str">
        <f t="shared" si="18"/>
        <v>411</v>
      </c>
      <c r="F235" t="str">
        <f t="shared" si="19"/>
        <v>Needs Attention</v>
      </c>
      <c r="J235">
        <f t="shared" si="20"/>
        <v>4</v>
      </c>
      <c r="K235">
        <f t="shared" si="21"/>
        <v>1</v>
      </c>
      <c r="L235">
        <f t="shared" si="22"/>
        <v>1</v>
      </c>
    </row>
    <row r="236" spans="1:12" x14ac:dyDescent="0.35">
      <c r="A236">
        <v>3262</v>
      </c>
      <c r="B236" s="3">
        <f>H$6-_xlfn.MAXIFS(Table1[PurchaseDate],Table1[CustomerID],A236)</f>
        <v>6</v>
      </c>
      <c r="C236">
        <f>COUNTIF(Table1[CustomerID],A236)</f>
        <v>2</v>
      </c>
      <c r="D236" s="12">
        <f>SUMIF(Table1[CustomerID],A236,Table1[TransactionAmount])</f>
        <v>1080.46</v>
      </c>
      <c r="E236" t="str">
        <f t="shared" si="18"/>
        <v>535</v>
      </c>
      <c r="F236" t="str">
        <f t="shared" si="19"/>
        <v>Champions</v>
      </c>
      <c r="J236">
        <f t="shared" si="20"/>
        <v>5</v>
      </c>
      <c r="K236">
        <f t="shared" si="21"/>
        <v>3</v>
      </c>
      <c r="L236">
        <f t="shared" si="22"/>
        <v>5</v>
      </c>
    </row>
    <row r="237" spans="1:12" x14ac:dyDescent="0.35">
      <c r="A237">
        <v>3267</v>
      </c>
      <c r="B237" s="3">
        <f>H$6-_xlfn.MAXIFS(Table1[PurchaseDate],Table1[CustomerID],A237)</f>
        <v>5</v>
      </c>
      <c r="C237">
        <f>COUNTIF(Table1[CustomerID],A237)</f>
        <v>1</v>
      </c>
      <c r="D237" s="12">
        <f>SUMIF(Table1[CustomerID],A237,Table1[TransactionAmount])</f>
        <v>257.5</v>
      </c>
      <c r="E237" t="str">
        <f t="shared" si="18"/>
        <v>512</v>
      </c>
      <c r="F237" t="str">
        <f t="shared" si="19"/>
        <v>Needs Attention</v>
      </c>
      <c r="J237">
        <f t="shared" si="20"/>
        <v>5</v>
      </c>
      <c r="K237">
        <f t="shared" si="21"/>
        <v>1</v>
      </c>
      <c r="L237">
        <f t="shared" si="22"/>
        <v>2</v>
      </c>
    </row>
    <row r="238" spans="1:12" x14ac:dyDescent="0.35">
      <c r="A238">
        <v>3275</v>
      </c>
      <c r="B238" s="3">
        <f>H$6-_xlfn.MAXIFS(Table1[PurchaseDate],Table1[CustomerID],A238)</f>
        <v>45</v>
      </c>
      <c r="C238">
        <f>COUNTIF(Table1[CustomerID],A238)</f>
        <v>1</v>
      </c>
      <c r="D238" s="12">
        <f>SUMIF(Table1[CustomerID],A238,Table1[TransactionAmount])</f>
        <v>792.47</v>
      </c>
      <c r="E238" t="str">
        <f t="shared" si="18"/>
        <v>214</v>
      </c>
      <c r="F238" t="str">
        <f t="shared" si="19"/>
        <v>Needs Attention</v>
      </c>
      <c r="J238">
        <f t="shared" si="20"/>
        <v>2</v>
      </c>
      <c r="K238">
        <f t="shared" si="21"/>
        <v>1</v>
      </c>
      <c r="L238">
        <f t="shared" si="22"/>
        <v>4</v>
      </c>
    </row>
    <row r="239" spans="1:12" x14ac:dyDescent="0.35">
      <c r="A239">
        <v>3280</v>
      </c>
      <c r="B239" s="3">
        <f>H$6-_xlfn.MAXIFS(Table1[PurchaseDate],Table1[CustomerID],A239)</f>
        <v>20</v>
      </c>
      <c r="C239">
        <f>COUNTIF(Table1[CustomerID],A239)</f>
        <v>1</v>
      </c>
      <c r="D239" s="12">
        <f>SUMIF(Table1[CustomerID],A239,Table1[TransactionAmount])</f>
        <v>309.8</v>
      </c>
      <c r="E239" t="str">
        <f t="shared" si="18"/>
        <v>412</v>
      </c>
      <c r="F239" t="str">
        <f t="shared" si="19"/>
        <v>Needs Attention</v>
      </c>
      <c r="J239">
        <f t="shared" si="20"/>
        <v>4</v>
      </c>
      <c r="K239">
        <f t="shared" si="21"/>
        <v>1</v>
      </c>
      <c r="L239">
        <f t="shared" si="22"/>
        <v>2</v>
      </c>
    </row>
    <row r="240" spans="1:12" x14ac:dyDescent="0.35">
      <c r="A240">
        <v>3287</v>
      </c>
      <c r="B240" s="3">
        <f>H$6-_xlfn.MAXIFS(Table1[PurchaseDate],Table1[CustomerID],A240)</f>
        <v>45</v>
      </c>
      <c r="C240">
        <f>COUNTIF(Table1[CustomerID],A240)</f>
        <v>1</v>
      </c>
      <c r="D240" s="12">
        <f>SUMIF(Table1[CustomerID],A240,Table1[TransactionAmount])</f>
        <v>747.54</v>
      </c>
      <c r="E240" t="str">
        <f t="shared" si="18"/>
        <v>214</v>
      </c>
      <c r="F240" t="str">
        <f t="shared" si="19"/>
        <v>Needs Attention</v>
      </c>
      <c r="J240">
        <f t="shared" si="20"/>
        <v>2</v>
      </c>
      <c r="K240">
        <f t="shared" si="21"/>
        <v>1</v>
      </c>
      <c r="L240">
        <f t="shared" si="22"/>
        <v>4</v>
      </c>
    </row>
    <row r="241" spans="1:12" x14ac:dyDescent="0.35">
      <c r="A241">
        <v>3308</v>
      </c>
      <c r="B241" s="3">
        <f>H$6-_xlfn.MAXIFS(Table1[PurchaseDate],Table1[CustomerID],A241)</f>
        <v>54</v>
      </c>
      <c r="C241">
        <f>COUNTIF(Table1[CustomerID],A241)</f>
        <v>1</v>
      </c>
      <c r="D241" s="12">
        <f>SUMIF(Table1[CustomerID],A241,Table1[TransactionAmount])</f>
        <v>60.1</v>
      </c>
      <c r="E241" t="str">
        <f t="shared" si="18"/>
        <v>111</v>
      </c>
      <c r="F241" t="str">
        <f t="shared" si="19"/>
        <v>At Risk</v>
      </c>
      <c r="J241">
        <f t="shared" si="20"/>
        <v>1</v>
      </c>
      <c r="K241">
        <f t="shared" si="21"/>
        <v>1</v>
      </c>
      <c r="L241">
        <f t="shared" si="22"/>
        <v>1</v>
      </c>
    </row>
    <row r="242" spans="1:12" x14ac:dyDescent="0.35">
      <c r="A242">
        <v>3340</v>
      </c>
      <c r="B242" s="3">
        <f>H$6-_xlfn.MAXIFS(Table1[PurchaseDate],Table1[CustomerID],A242)</f>
        <v>56</v>
      </c>
      <c r="C242">
        <f>COUNTIF(Table1[CustomerID],A242)</f>
        <v>1</v>
      </c>
      <c r="D242" s="12">
        <f>SUMIF(Table1[CustomerID],A242,Table1[TransactionAmount])</f>
        <v>535.20000000000005</v>
      </c>
      <c r="E242" t="str">
        <f t="shared" si="18"/>
        <v>113</v>
      </c>
      <c r="F242" t="str">
        <f t="shared" si="19"/>
        <v>Needs Attention</v>
      </c>
      <c r="J242">
        <f t="shared" si="20"/>
        <v>1</v>
      </c>
      <c r="K242">
        <f t="shared" si="21"/>
        <v>1</v>
      </c>
      <c r="L242">
        <f t="shared" si="22"/>
        <v>3</v>
      </c>
    </row>
    <row r="243" spans="1:12" x14ac:dyDescent="0.35">
      <c r="A243">
        <v>3363</v>
      </c>
      <c r="B243" s="3">
        <f>H$6-_xlfn.MAXIFS(Table1[PurchaseDate],Table1[CustomerID],A243)</f>
        <v>48</v>
      </c>
      <c r="C243">
        <f>COUNTIF(Table1[CustomerID],A243)</f>
        <v>1</v>
      </c>
      <c r="D243" s="12">
        <f>SUMIF(Table1[CustomerID],A243,Table1[TransactionAmount])</f>
        <v>606.44000000000005</v>
      </c>
      <c r="E243" t="str">
        <f t="shared" si="18"/>
        <v>113</v>
      </c>
      <c r="F243" t="str">
        <f t="shared" si="19"/>
        <v>Needs Attention</v>
      </c>
      <c r="J243">
        <f t="shared" si="20"/>
        <v>1</v>
      </c>
      <c r="K243">
        <f t="shared" si="21"/>
        <v>1</v>
      </c>
      <c r="L243">
        <f t="shared" si="22"/>
        <v>3</v>
      </c>
    </row>
    <row r="244" spans="1:12" x14ac:dyDescent="0.35">
      <c r="A244">
        <v>3369</v>
      </c>
      <c r="B244" s="3">
        <f>H$6-_xlfn.MAXIFS(Table1[PurchaseDate],Table1[CustomerID],A244)</f>
        <v>36</v>
      </c>
      <c r="C244">
        <f>COUNTIF(Table1[CustomerID],A244)</f>
        <v>1</v>
      </c>
      <c r="D244" s="12">
        <f>SUMIF(Table1[CustomerID],A244,Table1[TransactionAmount])</f>
        <v>198.7</v>
      </c>
      <c r="E244" t="str">
        <f t="shared" si="18"/>
        <v>311</v>
      </c>
      <c r="F244" t="str">
        <f t="shared" si="19"/>
        <v>Needs Attention</v>
      </c>
      <c r="J244">
        <f t="shared" si="20"/>
        <v>3</v>
      </c>
      <c r="K244">
        <f t="shared" si="21"/>
        <v>1</v>
      </c>
      <c r="L244">
        <f t="shared" si="22"/>
        <v>1</v>
      </c>
    </row>
    <row r="245" spans="1:12" x14ac:dyDescent="0.35">
      <c r="A245">
        <v>3384</v>
      </c>
      <c r="B245" s="3">
        <f>H$6-_xlfn.MAXIFS(Table1[PurchaseDate],Table1[CustomerID],A245)</f>
        <v>14</v>
      </c>
      <c r="C245">
        <f>COUNTIF(Table1[CustomerID],A245)</f>
        <v>1</v>
      </c>
      <c r="D245" s="12">
        <f>SUMIF(Table1[CustomerID],A245,Table1[TransactionAmount])</f>
        <v>39.19</v>
      </c>
      <c r="E245" t="str">
        <f t="shared" si="18"/>
        <v>411</v>
      </c>
      <c r="F245" t="str">
        <f t="shared" si="19"/>
        <v>Needs Attention</v>
      </c>
      <c r="J245">
        <f t="shared" si="20"/>
        <v>4</v>
      </c>
      <c r="K245">
        <f t="shared" si="21"/>
        <v>1</v>
      </c>
      <c r="L245">
        <f t="shared" si="22"/>
        <v>1</v>
      </c>
    </row>
    <row r="246" spans="1:12" x14ac:dyDescent="0.35">
      <c r="A246">
        <v>3392</v>
      </c>
      <c r="B246" s="3">
        <f>H$6-_xlfn.MAXIFS(Table1[PurchaseDate],Table1[CustomerID],A246)</f>
        <v>52</v>
      </c>
      <c r="C246">
        <f>COUNTIF(Table1[CustomerID],A246)</f>
        <v>1</v>
      </c>
      <c r="D246" s="12">
        <f>SUMIF(Table1[CustomerID],A246,Table1[TransactionAmount])</f>
        <v>47.92</v>
      </c>
      <c r="E246" t="str">
        <f t="shared" si="18"/>
        <v>111</v>
      </c>
      <c r="F246" t="str">
        <f t="shared" si="19"/>
        <v>At Risk</v>
      </c>
      <c r="J246">
        <f t="shared" si="20"/>
        <v>1</v>
      </c>
      <c r="K246">
        <f t="shared" si="21"/>
        <v>1</v>
      </c>
      <c r="L246">
        <f t="shared" si="22"/>
        <v>1</v>
      </c>
    </row>
    <row r="247" spans="1:12" x14ac:dyDescent="0.35">
      <c r="A247">
        <v>3399</v>
      </c>
      <c r="B247" s="3">
        <f>H$6-_xlfn.MAXIFS(Table1[PurchaseDate],Table1[CustomerID],A247)</f>
        <v>7</v>
      </c>
      <c r="C247">
        <f>COUNTIF(Table1[CustomerID],A247)</f>
        <v>2</v>
      </c>
      <c r="D247" s="12">
        <f>SUMIF(Table1[CustomerID],A247,Table1[TransactionAmount])</f>
        <v>123.06</v>
      </c>
      <c r="E247" t="str">
        <f t="shared" si="18"/>
        <v>531</v>
      </c>
      <c r="F247" t="str">
        <f t="shared" si="19"/>
        <v>Needs Attention</v>
      </c>
      <c r="J247">
        <f t="shared" si="20"/>
        <v>5</v>
      </c>
      <c r="K247">
        <f t="shared" si="21"/>
        <v>3</v>
      </c>
      <c r="L247">
        <f t="shared" si="22"/>
        <v>1</v>
      </c>
    </row>
    <row r="248" spans="1:12" x14ac:dyDescent="0.35">
      <c r="A248">
        <v>3406</v>
      </c>
      <c r="B248" s="3">
        <f>H$6-_xlfn.MAXIFS(Table1[PurchaseDate],Table1[CustomerID],A248)</f>
        <v>57</v>
      </c>
      <c r="C248">
        <f>COUNTIF(Table1[CustomerID],A248)</f>
        <v>1</v>
      </c>
      <c r="D248" s="12">
        <f>SUMIF(Table1[CustomerID],A248,Table1[TransactionAmount])</f>
        <v>174.68</v>
      </c>
      <c r="E248" t="str">
        <f t="shared" si="18"/>
        <v>111</v>
      </c>
      <c r="F248" t="str">
        <f t="shared" si="19"/>
        <v>At Risk</v>
      </c>
      <c r="J248">
        <f t="shared" si="20"/>
        <v>1</v>
      </c>
      <c r="K248">
        <f t="shared" si="21"/>
        <v>1</v>
      </c>
      <c r="L248">
        <f t="shared" si="22"/>
        <v>1</v>
      </c>
    </row>
    <row r="249" spans="1:12" x14ac:dyDescent="0.35">
      <c r="A249">
        <v>3417</v>
      </c>
      <c r="B249" s="3">
        <f>H$6-_xlfn.MAXIFS(Table1[PurchaseDate],Table1[CustomerID],A249)</f>
        <v>19</v>
      </c>
      <c r="C249">
        <f>COUNTIF(Table1[CustomerID],A249)</f>
        <v>1</v>
      </c>
      <c r="D249" s="12">
        <f>SUMIF(Table1[CustomerID],A249,Table1[TransactionAmount])</f>
        <v>690.75</v>
      </c>
      <c r="E249" t="str">
        <f t="shared" si="18"/>
        <v>414</v>
      </c>
      <c r="F249" t="str">
        <f t="shared" si="19"/>
        <v>Potential Loyalists</v>
      </c>
      <c r="J249">
        <f t="shared" si="20"/>
        <v>4</v>
      </c>
      <c r="K249">
        <f t="shared" si="21"/>
        <v>1</v>
      </c>
      <c r="L249">
        <f t="shared" si="22"/>
        <v>4</v>
      </c>
    </row>
    <row r="250" spans="1:12" x14ac:dyDescent="0.35">
      <c r="A250">
        <v>3420</v>
      </c>
      <c r="B250" s="3">
        <f>H$6-_xlfn.MAXIFS(Table1[PurchaseDate],Table1[CustomerID],A250)</f>
        <v>23</v>
      </c>
      <c r="C250">
        <f>COUNTIF(Table1[CustomerID],A250)</f>
        <v>1</v>
      </c>
      <c r="D250" s="12">
        <f>SUMIF(Table1[CustomerID],A250,Table1[TransactionAmount])</f>
        <v>707.65</v>
      </c>
      <c r="E250" t="str">
        <f t="shared" si="18"/>
        <v>414</v>
      </c>
      <c r="F250" t="str">
        <f t="shared" si="19"/>
        <v>Potential Loyalists</v>
      </c>
      <c r="J250">
        <f t="shared" si="20"/>
        <v>4</v>
      </c>
      <c r="K250">
        <f t="shared" si="21"/>
        <v>1</v>
      </c>
      <c r="L250">
        <f t="shared" si="22"/>
        <v>4</v>
      </c>
    </row>
    <row r="251" spans="1:12" x14ac:dyDescent="0.35">
      <c r="A251">
        <v>3435</v>
      </c>
      <c r="B251" s="3">
        <f>H$6-_xlfn.MAXIFS(Table1[PurchaseDate],Table1[CustomerID],A251)</f>
        <v>37</v>
      </c>
      <c r="C251">
        <f>COUNTIF(Table1[CustomerID],A251)</f>
        <v>1</v>
      </c>
      <c r="D251" s="12">
        <f>SUMIF(Table1[CustomerID],A251,Table1[TransactionAmount])</f>
        <v>398.57</v>
      </c>
      <c r="E251" t="str">
        <f t="shared" si="18"/>
        <v>312</v>
      </c>
      <c r="F251" t="str">
        <f t="shared" si="19"/>
        <v>Needs Attention</v>
      </c>
      <c r="J251">
        <f t="shared" si="20"/>
        <v>3</v>
      </c>
      <c r="K251">
        <f t="shared" si="21"/>
        <v>1</v>
      </c>
      <c r="L251">
        <f t="shared" si="22"/>
        <v>2</v>
      </c>
    </row>
    <row r="252" spans="1:12" x14ac:dyDescent="0.35">
      <c r="A252">
        <v>3443</v>
      </c>
      <c r="B252" s="3">
        <f>H$6-_xlfn.MAXIFS(Table1[PurchaseDate],Table1[CustomerID],A252)</f>
        <v>0</v>
      </c>
      <c r="C252">
        <f>COUNTIF(Table1[CustomerID],A252)</f>
        <v>1</v>
      </c>
      <c r="D252" s="12">
        <f>SUMIF(Table1[CustomerID],A252,Table1[TransactionAmount])</f>
        <v>99.18</v>
      </c>
      <c r="E252" t="str">
        <f t="shared" si="18"/>
        <v>511</v>
      </c>
      <c r="F252" t="str">
        <f t="shared" si="19"/>
        <v>Needs Attention</v>
      </c>
      <c r="J252">
        <f t="shared" si="20"/>
        <v>5</v>
      </c>
      <c r="K252">
        <f t="shared" si="21"/>
        <v>1</v>
      </c>
      <c r="L252">
        <f t="shared" si="22"/>
        <v>1</v>
      </c>
    </row>
    <row r="253" spans="1:12" x14ac:dyDescent="0.35">
      <c r="A253">
        <v>3450</v>
      </c>
      <c r="B253" s="3">
        <f>H$6-_xlfn.MAXIFS(Table1[PurchaseDate],Table1[CustomerID],A253)</f>
        <v>30</v>
      </c>
      <c r="C253">
        <f>COUNTIF(Table1[CustomerID],A253)</f>
        <v>1</v>
      </c>
      <c r="D253" s="12">
        <f>SUMIF(Table1[CustomerID],A253,Table1[TransactionAmount])</f>
        <v>807.61</v>
      </c>
      <c r="E253" t="str">
        <f t="shared" si="18"/>
        <v>314</v>
      </c>
      <c r="F253" t="str">
        <f t="shared" si="19"/>
        <v>Potential Loyalists</v>
      </c>
      <c r="J253">
        <f t="shared" si="20"/>
        <v>3</v>
      </c>
      <c r="K253">
        <f t="shared" si="21"/>
        <v>1</v>
      </c>
      <c r="L253">
        <f t="shared" si="22"/>
        <v>4</v>
      </c>
    </row>
    <row r="254" spans="1:12" x14ac:dyDescent="0.35">
      <c r="A254">
        <v>3463</v>
      </c>
      <c r="B254" s="3">
        <f>H$6-_xlfn.MAXIFS(Table1[PurchaseDate],Table1[CustomerID],A254)</f>
        <v>39</v>
      </c>
      <c r="C254">
        <f>COUNTIF(Table1[CustomerID],A254)</f>
        <v>1</v>
      </c>
      <c r="D254" s="12">
        <f>SUMIF(Table1[CustomerID],A254,Table1[TransactionAmount])</f>
        <v>90.69</v>
      </c>
      <c r="E254" t="str">
        <f t="shared" si="18"/>
        <v>211</v>
      </c>
      <c r="F254" t="str">
        <f t="shared" si="19"/>
        <v>At Risk</v>
      </c>
      <c r="J254">
        <f t="shared" si="20"/>
        <v>2</v>
      </c>
      <c r="K254">
        <f t="shared" si="21"/>
        <v>1</v>
      </c>
      <c r="L254">
        <f t="shared" si="22"/>
        <v>1</v>
      </c>
    </row>
    <row r="255" spans="1:12" x14ac:dyDescent="0.35">
      <c r="A255">
        <v>3485</v>
      </c>
      <c r="B255" s="3">
        <f>H$6-_xlfn.MAXIFS(Table1[PurchaseDate],Table1[CustomerID],A255)</f>
        <v>51</v>
      </c>
      <c r="C255">
        <f>COUNTIF(Table1[CustomerID],A255)</f>
        <v>1</v>
      </c>
      <c r="D255" s="12">
        <f>SUMIF(Table1[CustomerID],A255,Table1[TransactionAmount])</f>
        <v>813.03</v>
      </c>
      <c r="E255" t="str">
        <f t="shared" si="18"/>
        <v>114</v>
      </c>
      <c r="F255" t="str">
        <f t="shared" si="19"/>
        <v>Needs Attention</v>
      </c>
      <c r="J255">
        <f t="shared" si="20"/>
        <v>1</v>
      </c>
      <c r="K255">
        <f t="shared" si="21"/>
        <v>1</v>
      </c>
      <c r="L255">
        <f t="shared" si="22"/>
        <v>4</v>
      </c>
    </row>
    <row r="256" spans="1:12" x14ac:dyDescent="0.35">
      <c r="A256">
        <v>3502</v>
      </c>
      <c r="B256" s="3">
        <f>H$6-_xlfn.MAXIFS(Table1[PurchaseDate],Table1[CustomerID],A256)</f>
        <v>33</v>
      </c>
      <c r="C256">
        <f>COUNTIF(Table1[CustomerID],A256)</f>
        <v>1</v>
      </c>
      <c r="D256" s="12">
        <f>SUMIF(Table1[CustomerID],A256,Table1[TransactionAmount])</f>
        <v>970.83</v>
      </c>
      <c r="E256" t="str">
        <f t="shared" si="18"/>
        <v>315</v>
      </c>
      <c r="F256" t="str">
        <f t="shared" si="19"/>
        <v>Potential Loyalists</v>
      </c>
      <c r="J256">
        <f t="shared" si="20"/>
        <v>3</v>
      </c>
      <c r="K256">
        <f t="shared" si="21"/>
        <v>1</v>
      </c>
      <c r="L256">
        <f t="shared" si="22"/>
        <v>5</v>
      </c>
    </row>
    <row r="257" spans="1:12" x14ac:dyDescent="0.35">
      <c r="A257">
        <v>3504</v>
      </c>
      <c r="B257" s="3">
        <f>H$6-_xlfn.MAXIFS(Table1[PurchaseDate],Table1[CustomerID],A257)</f>
        <v>37</v>
      </c>
      <c r="C257">
        <f>COUNTIF(Table1[CustomerID],A257)</f>
        <v>1</v>
      </c>
      <c r="D257" s="12">
        <f>SUMIF(Table1[CustomerID],A257,Table1[TransactionAmount])</f>
        <v>764.89</v>
      </c>
      <c r="E257" t="str">
        <f t="shared" si="18"/>
        <v>314</v>
      </c>
      <c r="F257" t="str">
        <f t="shared" si="19"/>
        <v>Potential Loyalists</v>
      </c>
      <c r="J257">
        <f t="shared" si="20"/>
        <v>3</v>
      </c>
      <c r="K257">
        <f t="shared" si="21"/>
        <v>1</v>
      </c>
      <c r="L257">
        <f t="shared" si="22"/>
        <v>4</v>
      </c>
    </row>
    <row r="258" spans="1:12" x14ac:dyDescent="0.35">
      <c r="A258">
        <v>3509</v>
      </c>
      <c r="B258" s="3">
        <f>H$6-_xlfn.MAXIFS(Table1[PurchaseDate],Table1[CustomerID],A258)</f>
        <v>31</v>
      </c>
      <c r="C258">
        <f>COUNTIF(Table1[CustomerID],A258)</f>
        <v>1</v>
      </c>
      <c r="D258" s="12">
        <f>SUMIF(Table1[CustomerID],A258,Table1[TransactionAmount])</f>
        <v>750.26</v>
      </c>
      <c r="E258" t="str">
        <f t="shared" si="18"/>
        <v>314</v>
      </c>
      <c r="F258" t="str">
        <f t="shared" si="19"/>
        <v>Potential Loyalists</v>
      </c>
      <c r="J258">
        <f t="shared" si="20"/>
        <v>3</v>
      </c>
      <c r="K258">
        <f t="shared" si="21"/>
        <v>1</v>
      </c>
      <c r="L258">
        <f t="shared" si="22"/>
        <v>4</v>
      </c>
    </row>
    <row r="259" spans="1:12" x14ac:dyDescent="0.35">
      <c r="A259">
        <v>3519</v>
      </c>
      <c r="B259" s="3">
        <f>H$6-_xlfn.MAXIFS(Table1[PurchaseDate],Table1[CustomerID],A259)</f>
        <v>59</v>
      </c>
      <c r="C259">
        <f>COUNTIF(Table1[CustomerID],A259)</f>
        <v>1</v>
      </c>
      <c r="D259" s="12">
        <f>SUMIF(Table1[CustomerID],A259,Table1[TransactionAmount])</f>
        <v>464.63</v>
      </c>
      <c r="E259" t="str">
        <f t="shared" si="18"/>
        <v>113</v>
      </c>
      <c r="F259" t="str">
        <f t="shared" si="19"/>
        <v>Needs Attention</v>
      </c>
      <c r="J259">
        <f t="shared" si="20"/>
        <v>1</v>
      </c>
      <c r="K259">
        <f t="shared" si="21"/>
        <v>1</v>
      </c>
      <c r="L259">
        <f t="shared" si="22"/>
        <v>3</v>
      </c>
    </row>
    <row r="260" spans="1:12" x14ac:dyDescent="0.35">
      <c r="A260">
        <v>3521</v>
      </c>
      <c r="B260" s="3">
        <f>H$6-_xlfn.MAXIFS(Table1[PurchaseDate],Table1[CustomerID],A260)</f>
        <v>16</v>
      </c>
      <c r="C260">
        <f>COUNTIF(Table1[CustomerID],A260)</f>
        <v>1</v>
      </c>
      <c r="D260" s="12">
        <f>SUMIF(Table1[CustomerID],A260,Table1[TransactionAmount])</f>
        <v>540.99</v>
      </c>
      <c r="E260" t="str">
        <f t="shared" ref="E260:E323" si="23">J260&amp;K260&amp;L260</f>
        <v>413</v>
      </c>
      <c r="F260" t="str">
        <f t="shared" ref="F260:F323" si="24">IF(AND(J260&gt;=4,K260&gt;=3,L260&gt;=4),"Champions",IF(AND(J260&gt;=3,K260&gt;=2,L260&gt;=3),"Loyal Customers",IF(AND(J260&gt;=3,L260&gt;=3),"Potential Loyalists",IF(AND(J260&lt;=2,L260&lt;=2),"At Risk","Needs Attention"))))</f>
        <v>Potential Loyalists</v>
      </c>
      <c r="J260">
        <f t="shared" ref="J260:J323" si="25">ROUNDUP((COUNT($B$3:$B$948)-_xlfn.RANK.EQ(B260,$B$3:$B$948,1)+1)/COUNT($B$3:$B$948)*5,0)</f>
        <v>4</v>
      </c>
      <c r="K260">
        <f t="shared" ref="K260:K323" si="26">IF(C260=1,1,IF(C260=2,3,IF(C260=3,4,5)))</f>
        <v>1</v>
      </c>
      <c r="L260">
        <f t="shared" ref="L260:L323" si="27">IF(D260&gt;=_xlfn.PERCENTILE.INC($D$3:$D$948,0.8),5,IF(D260&gt;=_xlfn.PERCENTILE.INC($D$3:$D$948,0.6),4,IF(D260&gt;=_xlfn.PERCENTILE.INC($D$3:$D$948,0.4),3,IF(D260&gt;=_xlfn.PERCENTILE.INC($D$3:$D$948,0.2),2,1))))</f>
        <v>3</v>
      </c>
    </row>
    <row r="261" spans="1:12" x14ac:dyDescent="0.35">
      <c r="A261">
        <v>3522</v>
      </c>
      <c r="B261" s="3">
        <f>H$6-_xlfn.MAXIFS(Table1[PurchaseDate],Table1[CustomerID],A261)</f>
        <v>29</v>
      </c>
      <c r="C261">
        <f>COUNTIF(Table1[CustomerID],A261)</f>
        <v>1</v>
      </c>
      <c r="D261" s="12">
        <f>SUMIF(Table1[CustomerID],A261,Table1[TransactionAmount])</f>
        <v>933.33</v>
      </c>
      <c r="E261" t="str">
        <f t="shared" si="23"/>
        <v>315</v>
      </c>
      <c r="F261" t="str">
        <f t="shared" si="24"/>
        <v>Potential Loyalists</v>
      </c>
      <c r="J261">
        <f t="shared" si="25"/>
        <v>3</v>
      </c>
      <c r="K261">
        <f t="shared" si="26"/>
        <v>1</v>
      </c>
      <c r="L261">
        <f t="shared" si="27"/>
        <v>5</v>
      </c>
    </row>
    <row r="262" spans="1:12" x14ac:dyDescent="0.35">
      <c r="A262">
        <v>3525</v>
      </c>
      <c r="B262" s="3">
        <f>H$6-_xlfn.MAXIFS(Table1[PurchaseDate],Table1[CustomerID],A262)</f>
        <v>21</v>
      </c>
      <c r="C262">
        <f>COUNTIF(Table1[CustomerID],A262)</f>
        <v>1</v>
      </c>
      <c r="D262" s="12">
        <f>SUMIF(Table1[CustomerID],A262,Table1[TransactionAmount])</f>
        <v>290.3</v>
      </c>
      <c r="E262" t="str">
        <f t="shared" si="23"/>
        <v>412</v>
      </c>
      <c r="F262" t="str">
        <f t="shared" si="24"/>
        <v>Needs Attention</v>
      </c>
      <c r="J262">
        <f t="shared" si="25"/>
        <v>4</v>
      </c>
      <c r="K262">
        <f t="shared" si="26"/>
        <v>1</v>
      </c>
      <c r="L262">
        <f t="shared" si="27"/>
        <v>2</v>
      </c>
    </row>
    <row r="263" spans="1:12" x14ac:dyDescent="0.35">
      <c r="A263">
        <v>3527</v>
      </c>
      <c r="B263" s="3">
        <f>H$6-_xlfn.MAXIFS(Table1[PurchaseDate],Table1[CustomerID],A263)</f>
        <v>50</v>
      </c>
      <c r="C263">
        <f>COUNTIF(Table1[CustomerID],A263)</f>
        <v>1</v>
      </c>
      <c r="D263" s="12">
        <f>SUMIF(Table1[CustomerID],A263,Table1[TransactionAmount])</f>
        <v>189.04</v>
      </c>
      <c r="E263" t="str">
        <f t="shared" si="23"/>
        <v>111</v>
      </c>
      <c r="F263" t="str">
        <f t="shared" si="24"/>
        <v>At Risk</v>
      </c>
      <c r="J263">
        <f t="shared" si="25"/>
        <v>1</v>
      </c>
      <c r="K263">
        <f t="shared" si="26"/>
        <v>1</v>
      </c>
      <c r="L263">
        <f t="shared" si="27"/>
        <v>1</v>
      </c>
    </row>
    <row r="264" spans="1:12" x14ac:dyDescent="0.35">
      <c r="A264">
        <v>3535</v>
      </c>
      <c r="B264" s="3">
        <f>H$6-_xlfn.MAXIFS(Table1[PurchaseDate],Table1[CustomerID],A264)</f>
        <v>18</v>
      </c>
      <c r="C264">
        <f>COUNTIF(Table1[CustomerID],A264)</f>
        <v>1</v>
      </c>
      <c r="D264" s="12">
        <f>SUMIF(Table1[CustomerID],A264,Table1[TransactionAmount])</f>
        <v>487.37</v>
      </c>
      <c r="E264" t="str">
        <f t="shared" si="23"/>
        <v>413</v>
      </c>
      <c r="F264" t="str">
        <f t="shared" si="24"/>
        <v>Potential Loyalists</v>
      </c>
      <c r="J264">
        <f t="shared" si="25"/>
        <v>4</v>
      </c>
      <c r="K264">
        <f t="shared" si="26"/>
        <v>1</v>
      </c>
      <c r="L264">
        <f t="shared" si="27"/>
        <v>3</v>
      </c>
    </row>
    <row r="265" spans="1:12" x14ac:dyDescent="0.35">
      <c r="A265">
        <v>3538</v>
      </c>
      <c r="B265" s="3">
        <f>H$6-_xlfn.MAXIFS(Table1[PurchaseDate],Table1[CustomerID],A265)</f>
        <v>56</v>
      </c>
      <c r="C265">
        <f>COUNTIF(Table1[CustomerID],A265)</f>
        <v>1</v>
      </c>
      <c r="D265" s="12">
        <f>SUMIF(Table1[CustomerID],A265,Table1[TransactionAmount])</f>
        <v>302.83</v>
      </c>
      <c r="E265" t="str">
        <f t="shared" si="23"/>
        <v>112</v>
      </c>
      <c r="F265" t="str">
        <f t="shared" si="24"/>
        <v>At Risk</v>
      </c>
      <c r="J265">
        <f t="shared" si="25"/>
        <v>1</v>
      </c>
      <c r="K265">
        <f t="shared" si="26"/>
        <v>1</v>
      </c>
      <c r="L265">
        <f t="shared" si="27"/>
        <v>2</v>
      </c>
    </row>
    <row r="266" spans="1:12" x14ac:dyDescent="0.35">
      <c r="A266">
        <v>3555</v>
      </c>
      <c r="B266" s="3">
        <f>H$6-_xlfn.MAXIFS(Table1[PurchaseDate],Table1[CustomerID],A266)</f>
        <v>12</v>
      </c>
      <c r="C266">
        <f>COUNTIF(Table1[CustomerID],A266)</f>
        <v>1</v>
      </c>
      <c r="D266" s="12">
        <f>SUMIF(Table1[CustomerID],A266,Table1[TransactionAmount])</f>
        <v>731.2</v>
      </c>
      <c r="E266" t="str">
        <f t="shared" si="23"/>
        <v>514</v>
      </c>
      <c r="F266" t="str">
        <f t="shared" si="24"/>
        <v>Potential Loyalists</v>
      </c>
      <c r="J266">
        <f t="shared" si="25"/>
        <v>5</v>
      </c>
      <c r="K266">
        <f t="shared" si="26"/>
        <v>1</v>
      </c>
      <c r="L266">
        <f t="shared" si="27"/>
        <v>4</v>
      </c>
    </row>
    <row r="267" spans="1:12" x14ac:dyDescent="0.35">
      <c r="A267">
        <v>3573</v>
      </c>
      <c r="B267" s="3">
        <f>H$6-_xlfn.MAXIFS(Table1[PurchaseDate],Table1[CustomerID],A267)</f>
        <v>45</v>
      </c>
      <c r="C267">
        <f>COUNTIF(Table1[CustomerID],A267)</f>
        <v>2</v>
      </c>
      <c r="D267" s="12">
        <f>SUMIF(Table1[CustomerID],A267,Table1[TransactionAmount])</f>
        <v>292.33000000000004</v>
      </c>
      <c r="E267" t="str">
        <f t="shared" si="23"/>
        <v>232</v>
      </c>
      <c r="F267" t="str">
        <f t="shared" si="24"/>
        <v>At Risk</v>
      </c>
      <c r="J267">
        <f t="shared" si="25"/>
        <v>2</v>
      </c>
      <c r="K267">
        <f t="shared" si="26"/>
        <v>3</v>
      </c>
      <c r="L267">
        <f t="shared" si="27"/>
        <v>2</v>
      </c>
    </row>
    <row r="268" spans="1:12" x14ac:dyDescent="0.35">
      <c r="A268">
        <v>3578</v>
      </c>
      <c r="B268" s="3">
        <f>H$6-_xlfn.MAXIFS(Table1[PurchaseDate],Table1[CustomerID],A268)</f>
        <v>37</v>
      </c>
      <c r="C268">
        <f>COUNTIF(Table1[CustomerID],A268)</f>
        <v>1</v>
      </c>
      <c r="D268" s="12">
        <f>SUMIF(Table1[CustomerID],A268,Table1[TransactionAmount])</f>
        <v>606</v>
      </c>
      <c r="E268" t="str">
        <f t="shared" si="23"/>
        <v>313</v>
      </c>
      <c r="F268" t="str">
        <f t="shared" si="24"/>
        <v>Potential Loyalists</v>
      </c>
      <c r="J268">
        <f t="shared" si="25"/>
        <v>3</v>
      </c>
      <c r="K268">
        <f t="shared" si="26"/>
        <v>1</v>
      </c>
      <c r="L268">
        <f t="shared" si="27"/>
        <v>3</v>
      </c>
    </row>
    <row r="269" spans="1:12" x14ac:dyDescent="0.35">
      <c r="A269">
        <v>3604</v>
      </c>
      <c r="B269" s="3">
        <f>H$6-_xlfn.MAXIFS(Table1[PurchaseDate],Table1[CustomerID],A269)</f>
        <v>5</v>
      </c>
      <c r="C269">
        <f>COUNTIF(Table1[CustomerID],A269)</f>
        <v>1</v>
      </c>
      <c r="D269" s="12">
        <f>SUMIF(Table1[CustomerID],A269,Table1[TransactionAmount])</f>
        <v>933.4</v>
      </c>
      <c r="E269" t="str">
        <f t="shared" si="23"/>
        <v>515</v>
      </c>
      <c r="F269" t="str">
        <f t="shared" si="24"/>
        <v>Potential Loyalists</v>
      </c>
      <c r="J269">
        <f t="shared" si="25"/>
        <v>5</v>
      </c>
      <c r="K269">
        <f t="shared" si="26"/>
        <v>1</v>
      </c>
      <c r="L269">
        <f t="shared" si="27"/>
        <v>5</v>
      </c>
    </row>
    <row r="270" spans="1:12" x14ac:dyDescent="0.35">
      <c r="A270">
        <v>3607</v>
      </c>
      <c r="B270" s="3">
        <f>H$6-_xlfn.MAXIFS(Table1[PurchaseDate],Table1[CustomerID],A270)</f>
        <v>13</v>
      </c>
      <c r="C270">
        <f>COUNTIF(Table1[CustomerID],A270)</f>
        <v>1</v>
      </c>
      <c r="D270" s="12">
        <f>SUMIF(Table1[CustomerID],A270,Table1[TransactionAmount])</f>
        <v>862.88</v>
      </c>
      <c r="E270" t="str">
        <f t="shared" si="23"/>
        <v>415</v>
      </c>
      <c r="F270" t="str">
        <f t="shared" si="24"/>
        <v>Potential Loyalists</v>
      </c>
      <c r="J270">
        <f t="shared" si="25"/>
        <v>4</v>
      </c>
      <c r="K270">
        <f t="shared" si="26"/>
        <v>1</v>
      </c>
      <c r="L270">
        <f t="shared" si="27"/>
        <v>5</v>
      </c>
    </row>
    <row r="271" spans="1:12" x14ac:dyDescent="0.35">
      <c r="A271">
        <v>3623</v>
      </c>
      <c r="B271" s="3">
        <f>H$6-_xlfn.MAXIFS(Table1[PurchaseDate],Table1[CustomerID],A271)</f>
        <v>39</v>
      </c>
      <c r="C271">
        <f>COUNTIF(Table1[CustomerID],A271)</f>
        <v>1</v>
      </c>
      <c r="D271" s="12">
        <f>SUMIF(Table1[CustomerID],A271,Table1[TransactionAmount])</f>
        <v>564.25</v>
      </c>
      <c r="E271" t="str">
        <f t="shared" si="23"/>
        <v>213</v>
      </c>
      <c r="F271" t="str">
        <f t="shared" si="24"/>
        <v>Needs Attention</v>
      </c>
      <c r="J271">
        <f t="shared" si="25"/>
        <v>2</v>
      </c>
      <c r="K271">
        <f t="shared" si="26"/>
        <v>1</v>
      </c>
      <c r="L271">
        <f t="shared" si="27"/>
        <v>3</v>
      </c>
    </row>
    <row r="272" spans="1:12" x14ac:dyDescent="0.35">
      <c r="A272">
        <v>3634</v>
      </c>
      <c r="B272" s="3">
        <f>H$6-_xlfn.MAXIFS(Table1[PurchaseDate],Table1[CustomerID],A272)</f>
        <v>39</v>
      </c>
      <c r="C272">
        <f>COUNTIF(Table1[CustomerID],A272)</f>
        <v>1</v>
      </c>
      <c r="D272" s="12">
        <f>SUMIF(Table1[CustomerID],A272,Table1[TransactionAmount])</f>
        <v>417.53</v>
      </c>
      <c r="E272" t="str">
        <f t="shared" si="23"/>
        <v>212</v>
      </c>
      <c r="F272" t="str">
        <f t="shared" si="24"/>
        <v>At Risk</v>
      </c>
      <c r="J272">
        <f t="shared" si="25"/>
        <v>2</v>
      </c>
      <c r="K272">
        <f t="shared" si="26"/>
        <v>1</v>
      </c>
      <c r="L272">
        <f t="shared" si="27"/>
        <v>2</v>
      </c>
    </row>
    <row r="273" spans="1:12" x14ac:dyDescent="0.35">
      <c r="A273">
        <v>3647</v>
      </c>
      <c r="B273" s="3">
        <f>H$6-_xlfn.MAXIFS(Table1[PurchaseDate],Table1[CustomerID],A273)</f>
        <v>13</v>
      </c>
      <c r="C273">
        <f>COUNTIF(Table1[CustomerID],A273)</f>
        <v>1</v>
      </c>
      <c r="D273" s="12">
        <f>SUMIF(Table1[CustomerID],A273,Table1[TransactionAmount])</f>
        <v>447.42</v>
      </c>
      <c r="E273" t="str">
        <f t="shared" si="23"/>
        <v>413</v>
      </c>
      <c r="F273" t="str">
        <f t="shared" si="24"/>
        <v>Potential Loyalists</v>
      </c>
      <c r="J273">
        <f t="shared" si="25"/>
        <v>4</v>
      </c>
      <c r="K273">
        <f t="shared" si="26"/>
        <v>1</v>
      </c>
      <c r="L273">
        <f t="shared" si="27"/>
        <v>3</v>
      </c>
    </row>
    <row r="274" spans="1:12" x14ac:dyDescent="0.35">
      <c r="A274">
        <v>3656</v>
      </c>
      <c r="B274" s="3">
        <f>H$6-_xlfn.MAXIFS(Table1[PurchaseDate],Table1[CustomerID],A274)</f>
        <v>5</v>
      </c>
      <c r="C274">
        <f>COUNTIF(Table1[CustomerID],A274)</f>
        <v>1</v>
      </c>
      <c r="D274" s="12">
        <f>SUMIF(Table1[CustomerID],A274,Table1[TransactionAmount])</f>
        <v>153.16</v>
      </c>
      <c r="E274" t="str">
        <f t="shared" si="23"/>
        <v>511</v>
      </c>
      <c r="F274" t="str">
        <f t="shared" si="24"/>
        <v>Needs Attention</v>
      </c>
      <c r="J274">
        <f t="shared" si="25"/>
        <v>5</v>
      </c>
      <c r="K274">
        <f t="shared" si="26"/>
        <v>1</v>
      </c>
      <c r="L274">
        <f t="shared" si="27"/>
        <v>1</v>
      </c>
    </row>
    <row r="275" spans="1:12" x14ac:dyDescent="0.35">
      <c r="A275">
        <v>3661</v>
      </c>
      <c r="B275" s="3">
        <f>H$6-_xlfn.MAXIFS(Table1[PurchaseDate],Table1[CustomerID],A275)</f>
        <v>24</v>
      </c>
      <c r="C275">
        <f>COUNTIF(Table1[CustomerID],A275)</f>
        <v>1</v>
      </c>
      <c r="D275" s="12">
        <f>SUMIF(Table1[CustomerID],A275,Table1[TransactionAmount])</f>
        <v>248.07</v>
      </c>
      <c r="E275" t="str">
        <f t="shared" si="23"/>
        <v>412</v>
      </c>
      <c r="F275" t="str">
        <f t="shared" si="24"/>
        <v>Needs Attention</v>
      </c>
      <c r="J275">
        <f t="shared" si="25"/>
        <v>4</v>
      </c>
      <c r="K275">
        <f t="shared" si="26"/>
        <v>1</v>
      </c>
      <c r="L275">
        <f t="shared" si="27"/>
        <v>2</v>
      </c>
    </row>
    <row r="276" spans="1:12" x14ac:dyDescent="0.35">
      <c r="A276">
        <v>3662</v>
      </c>
      <c r="B276" s="3">
        <f>H$6-_xlfn.MAXIFS(Table1[PurchaseDate],Table1[CustomerID],A276)</f>
        <v>35</v>
      </c>
      <c r="C276">
        <f>COUNTIF(Table1[CustomerID],A276)</f>
        <v>1</v>
      </c>
      <c r="D276" s="12">
        <f>SUMIF(Table1[CustomerID],A276,Table1[TransactionAmount])</f>
        <v>990.71</v>
      </c>
      <c r="E276" t="str">
        <f t="shared" si="23"/>
        <v>315</v>
      </c>
      <c r="F276" t="str">
        <f t="shared" si="24"/>
        <v>Potential Loyalists</v>
      </c>
      <c r="J276">
        <f t="shared" si="25"/>
        <v>3</v>
      </c>
      <c r="K276">
        <f t="shared" si="26"/>
        <v>1</v>
      </c>
      <c r="L276">
        <f t="shared" si="27"/>
        <v>5</v>
      </c>
    </row>
    <row r="277" spans="1:12" x14ac:dyDescent="0.35">
      <c r="A277">
        <v>3676</v>
      </c>
      <c r="B277" s="3">
        <f>H$6-_xlfn.MAXIFS(Table1[PurchaseDate],Table1[CustomerID],A277)</f>
        <v>57</v>
      </c>
      <c r="C277">
        <f>COUNTIF(Table1[CustomerID],A277)</f>
        <v>1</v>
      </c>
      <c r="D277" s="12">
        <f>SUMIF(Table1[CustomerID],A277,Table1[TransactionAmount])</f>
        <v>223.31</v>
      </c>
      <c r="E277" t="str">
        <f t="shared" si="23"/>
        <v>112</v>
      </c>
      <c r="F277" t="str">
        <f t="shared" si="24"/>
        <v>At Risk</v>
      </c>
      <c r="J277">
        <f t="shared" si="25"/>
        <v>1</v>
      </c>
      <c r="K277">
        <f t="shared" si="26"/>
        <v>1</v>
      </c>
      <c r="L277">
        <f t="shared" si="27"/>
        <v>2</v>
      </c>
    </row>
    <row r="278" spans="1:12" x14ac:dyDescent="0.35">
      <c r="A278">
        <v>3693</v>
      </c>
      <c r="B278" s="3">
        <f>H$6-_xlfn.MAXIFS(Table1[PurchaseDate],Table1[CustomerID],A278)</f>
        <v>32</v>
      </c>
      <c r="C278">
        <f>COUNTIF(Table1[CustomerID],A278)</f>
        <v>1</v>
      </c>
      <c r="D278" s="12">
        <f>SUMIF(Table1[CustomerID],A278,Table1[TransactionAmount])</f>
        <v>471.39</v>
      </c>
      <c r="E278" t="str">
        <f t="shared" si="23"/>
        <v>313</v>
      </c>
      <c r="F278" t="str">
        <f t="shared" si="24"/>
        <v>Potential Loyalists</v>
      </c>
      <c r="J278">
        <f t="shared" si="25"/>
        <v>3</v>
      </c>
      <c r="K278">
        <f t="shared" si="26"/>
        <v>1</v>
      </c>
      <c r="L278">
        <f t="shared" si="27"/>
        <v>3</v>
      </c>
    </row>
    <row r="279" spans="1:12" x14ac:dyDescent="0.35">
      <c r="A279">
        <v>3695</v>
      </c>
      <c r="B279" s="3">
        <f>H$6-_xlfn.MAXIFS(Table1[PurchaseDate],Table1[CustomerID],A279)</f>
        <v>40</v>
      </c>
      <c r="C279">
        <f>COUNTIF(Table1[CustomerID],A279)</f>
        <v>2</v>
      </c>
      <c r="D279" s="12">
        <f>SUMIF(Table1[CustomerID],A279,Table1[TransactionAmount])</f>
        <v>1770.85</v>
      </c>
      <c r="E279" t="str">
        <f t="shared" si="23"/>
        <v>235</v>
      </c>
      <c r="F279" t="str">
        <f t="shared" si="24"/>
        <v>Needs Attention</v>
      </c>
      <c r="J279">
        <f t="shared" si="25"/>
        <v>2</v>
      </c>
      <c r="K279">
        <f t="shared" si="26"/>
        <v>3</v>
      </c>
      <c r="L279">
        <f t="shared" si="27"/>
        <v>5</v>
      </c>
    </row>
    <row r="280" spans="1:12" x14ac:dyDescent="0.35">
      <c r="A280">
        <v>3697</v>
      </c>
      <c r="B280" s="3">
        <f>H$6-_xlfn.MAXIFS(Table1[PurchaseDate],Table1[CustomerID],A280)</f>
        <v>36</v>
      </c>
      <c r="C280">
        <f>COUNTIF(Table1[CustomerID],A280)</f>
        <v>1</v>
      </c>
      <c r="D280" s="12">
        <f>SUMIF(Table1[CustomerID],A280,Table1[TransactionAmount])</f>
        <v>12.13</v>
      </c>
      <c r="E280" t="str">
        <f t="shared" si="23"/>
        <v>311</v>
      </c>
      <c r="F280" t="str">
        <f t="shared" si="24"/>
        <v>Needs Attention</v>
      </c>
      <c r="J280">
        <f t="shared" si="25"/>
        <v>3</v>
      </c>
      <c r="K280">
        <f t="shared" si="26"/>
        <v>1</v>
      </c>
      <c r="L280">
        <f t="shared" si="27"/>
        <v>1</v>
      </c>
    </row>
    <row r="281" spans="1:12" x14ac:dyDescent="0.35">
      <c r="A281">
        <v>3704</v>
      </c>
      <c r="B281" s="3">
        <f>H$6-_xlfn.MAXIFS(Table1[PurchaseDate],Table1[CustomerID],A281)</f>
        <v>7</v>
      </c>
      <c r="C281">
        <f>COUNTIF(Table1[CustomerID],A281)</f>
        <v>1</v>
      </c>
      <c r="D281" s="12">
        <f>SUMIF(Table1[CustomerID],A281,Table1[TransactionAmount])</f>
        <v>472.72</v>
      </c>
      <c r="E281" t="str">
        <f t="shared" si="23"/>
        <v>513</v>
      </c>
      <c r="F281" t="str">
        <f t="shared" si="24"/>
        <v>Potential Loyalists</v>
      </c>
      <c r="J281">
        <f t="shared" si="25"/>
        <v>5</v>
      </c>
      <c r="K281">
        <f t="shared" si="26"/>
        <v>1</v>
      </c>
      <c r="L281">
        <f t="shared" si="27"/>
        <v>3</v>
      </c>
    </row>
    <row r="282" spans="1:12" x14ac:dyDescent="0.35">
      <c r="A282">
        <v>3705</v>
      </c>
      <c r="B282" s="3">
        <f>H$6-_xlfn.MAXIFS(Table1[PurchaseDate],Table1[CustomerID],A282)</f>
        <v>44</v>
      </c>
      <c r="C282">
        <f>COUNTIF(Table1[CustomerID],A282)</f>
        <v>1</v>
      </c>
      <c r="D282" s="12">
        <f>SUMIF(Table1[CustomerID],A282,Table1[TransactionAmount])</f>
        <v>532.4</v>
      </c>
      <c r="E282" t="str">
        <f t="shared" si="23"/>
        <v>213</v>
      </c>
      <c r="F282" t="str">
        <f t="shared" si="24"/>
        <v>Needs Attention</v>
      </c>
      <c r="J282">
        <f t="shared" si="25"/>
        <v>2</v>
      </c>
      <c r="K282">
        <f t="shared" si="26"/>
        <v>1</v>
      </c>
      <c r="L282">
        <f t="shared" si="27"/>
        <v>3</v>
      </c>
    </row>
    <row r="283" spans="1:12" x14ac:dyDescent="0.35">
      <c r="A283">
        <v>3709</v>
      </c>
      <c r="B283" s="3">
        <f>H$6-_xlfn.MAXIFS(Table1[PurchaseDate],Table1[CustomerID],A283)</f>
        <v>56</v>
      </c>
      <c r="C283">
        <f>COUNTIF(Table1[CustomerID],A283)</f>
        <v>1</v>
      </c>
      <c r="D283" s="12">
        <f>SUMIF(Table1[CustomerID],A283,Table1[TransactionAmount])</f>
        <v>753.92</v>
      </c>
      <c r="E283" t="str">
        <f t="shared" si="23"/>
        <v>114</v>
      </c>
      <c r="F283" t="str">
        <f t="shared" si="24"/>
        <v>Needs Attention</v>
      </c>
      <c r="J283">
        <f t="shared" si="25"/>
        <v>1</v>
      </c>
      <c r="K283">
        <f t="shared" si="26"/>
        <v>1</v>
      </c>
      <c r="L283">
        <f t="shared" si="27"/>
        <v>4</v>
      </c>
    </row>
    <row r="284" spans="1:12" x14ac:dyDescent="0.35">
      <c r="A284">
        <v>3719</v>
      </c>
      <c r="B284" s="3">
        <f>H$6-_xlfn.MAXIFS(Table1[PurchaseDate],Table1[CustomerID],A284)</f>
        <v>21</v>
      </c>
      <c r="C284">
        <f>COUNTIF(Table1[CustomerID],A284)</f>
        <v>1</v>
      </c>
      <c r="D284" s="12">
        <f>SUMIF(Table1[CustomerID],A284,Table1[TransactionAmount])</f>
        <v>147.84</v>
      </c>
      <c r="E284" t="str">
        <f t="shared" si="23"/>
        <v>411</v>
      </c>
      <c r="F284" t="str">
        <f t="shared" si="24"/>
        <v>Needs Attention</v>
      </c>
      <c r="J284">
        <f t="shared" si="25"/>
        <v>4</v>
      </c>
      <c r="K284">
        <f t="shared" si="26"/>
        <v>1</v>
      </c>
      <c r="L284">
        <f t="shared" si="27"/>
        <v>1</v>
      </c>
    </row>
    <row r="285" spans="1:12" x14ac:dyDescent="0.35">
      <c r="A285">
        <v>3724</v>
      </c>
      <c r="B285" s="3">
        <f>H$6-_xlfn.MAXIFS(Table1[PurchaseDate],Table1[CustomerID],A285)</f>
        <v>34</v>
      </c>
      <c r="C285">
        <f>COUNTIF(Table1[CustomerID],A285)</f>
        <v>1</v>
      </c>
      <c r="D285" s="12">
        <f>SUMIF(Table1[CustomerID],A285,Table1[TransactionAmount])</f>
        <v>490.78</v>
      </c>
      <c r="E285" t="str">
        <f t="shared" si="23"/>
        <v>313</v>
      </c>
      <c r="F285" t="str">
        <f t="shared" si="24"/>
        <v>Potential Loyalists</v>
      </c>
      <c r="J285">
        <f t="shared" si="25"/>
        <v>3</v>
      </c>
      <c r="K285">
        <f t="shared" si="26"/>
        <v>1</v>
      </c>
      <c r="L285">
        <f t="shared" si="27"/>
        <v>3</v>
      </c>
    </row>
    <row r="286" spans="1:12" x14ac:dyDescent="0.35">
      <c r="A286">
        <v>3735</v>
      </c>
      <c r="B286" s="3">
        <f>H$6-_xlfn.MAXIFS(Table1[PurchaseDate],Table1[CustomerID],A286)</f>
        <v>37</v>
      </c>
      <c r="C286">
        <f>COUNTIF(Table1[CustomerID],A286)</f>
        <v>1</v>
      </c>
      <c r="D286" s="12">
        <f>SUMIF(Table1[CustomerID],A286,Table1[TransactionAmount])</f>
        <v>135.66</v>
      </c>
      <c r="E286" t="str">
        <f t="shared" si="23"/>
        <v>311</v>
      </c>
      <c r="F286" t="str">
        <f t="shared" si="24"/>
        <v>Needs Attention</v>
      </c>
      <c r="J286">
        <f t="shared" si="25"/>
        <v>3</v>
      </c>
      <c r="K286">
        <f t="shared" si="26"/>
        <v>1</v>
      </c>
      <c r="L286">
        <f t="shared" si="27"/>
        <v>1</v>
      </c>
    </row>
    <row r="287" spans="1:12" x14ac:dyDescent="0.35">
      <c r="A287">
        <v>3742</v>
      </c>
      <c r="B287" s="3">
        <f>H$6-_xlfn.MAXIFS(Table1[PurchaseDate],Table1[CustomerID],A287)</f>
        <v>10</v>
      </c>
      <c r="C287">
        <f>COUNTIF(Table1[CustomerID],A287)</f>
        <v>1</v>
      </c>
      <c r="D287" s="12">
        <f>SUMIF(Table1[CustomerID],A287,Table1[TransactionAmount])</f>
        <v>283.33999999999997</v>
      </c>
      <c r="E287" t="str">
        <f t="shared" si="23"/>
        <v>512</v>
      </c>
      <c r="F287" t="str">
        <f t="shared" si="24"/>
        <v>Needs Attention</v>
      </c>
      <c r="J287">
        <f t="shared" si="25"/>
        <v>5</v>
      </c>
      <c r="K287">
        <f t="shared" si="26"/>
        <v>1</v>
      </c>
      <c r="L287">
        <f t="shared" si="27"/>
        <v>2</v>
      </c>
    </row>
    <row r="288" spans="1:12" x14ac:dyDescent="0.35">
      <c r="A288">
        <v>3747</v>
      </c>
      <c r="B288" s="3">
        <f>H$6-_xlfn.MAXIFS(Table1[PurchaseDate],Table1[CustomerID],A288)</f>
        <v>14</v>
      </c>
      <c r="C288">
        <f>COUNTIF(Table1[CustomerID],A288)</f>
        <v>1</v>
      </c>
      <c r="D288" s="12">
        <f>SUMIF(Table1[CustomerID],A288,Table1[TransactionAmount])</f>
        <v>688.74</v>
      </c>
      <c r="E288" t="str">
        <f t="shared" si="23"/>
        <v>414</v>
      </c>
      <c r="F288" t="str">
        <f t="shared" si="24"/>
        <v>Potential Loyalists</v>
      </c>
      <c r="J288">
        <f t="shared" si="25"/>
        <v>4</v>
      </c>
      <c r="K288">
        <f t="shared" si="26"/>
        <v>1</v>
      </c>
      <c r="L288">
        <f t="shared" si="27"/>
        <v>4</v>
      </c>
    </row>
    <row r="289" spans="1:12" x14ac:dyDescent="0.35">
      <c r="A289">
        <v>3762</v>
      </c>
      <c r="B289" s="3">
        <f>H$6-_xlfn.MAXIFS(Table1[PurchaseDate],Table1[CustomerID],A289)</f>
        <v>24</v>
      </c>
      <c r="C289">
        <f>COUNTIF(Table1[CustomerID],A289)</f>
        <v>1</v>
      </c>
      <c r="D289" s="12">
        <f>SUMIF(Table1[CustomerID],A289,Table1[TransactionAmount])</f>
        <v>766.84</v>
      </c>
      <c r="E289" t="str">
        <f t="shared" si="23"/>
        <v>414</v>
      </c>
      <c r="F289" t="str">
        <f t="shared" si="24"/>
        <v>Potential Loyalists</v>
      </c>
      <c r="J289">
        <f t="shared" si="25"/>
        <v>4</v>
      </c>
      <c r="K289">
        <f t="shared" si="26"/>
        <v>1</v>
      </c>
      <c r="L289">
        <f t="shared" si="27"/>
        <v>4</v>
      </c>
    </row>
    <row r="290" spans="1:12" x14ac:dyDescent="0.35">
      <c r="A290">
        <v>3793</v>
      </c>
      <c r="B290" s="3">
        <f>H$6-_xlfn.MAXIFS(Table1[PurchaseDate],Table1[CustomerID],A290)</f>
        <v>39</v>
      </c>
      <c r="C290">
        <f>COUNTIF(Table1[CustomerID],A290)</f>
        <v>1</v>
      </c>
      <c r="D290" s="12">
        <f>SUMIF(Table1[CustomerID],A290,Table1[TransactionAmount])</f>
        <v>363.95</v>
      </c>
      <c r="E290" t="str">
        <f t="shared" si="23"/>
        <v>212</v>
      </c>
      <c r="F290" t="str">
        <f t="shared" si="24"/>
        <v>At Risk</v>
      </c>
      <c r="J290">
        <f t="shared" si="25"/>
        <v>2</v>
      </c>
      <c r="K290">
        <f t="shared" si="26"/>
        <v>1</v>
      </c>
      <c r="L290">
        <f t="shared" si="27"/>
        <v>2</v>
      </c>
    </row>
    <row r="291" spans="1:12" x14ac:dyDescent="0.35">
      <c r="A291">
        <v>3804</v>
      </c>
      <c r="B291" s="3">
        <f>H$6-_xlfn.MAXIFS(Table1[PurchaseDate],Table1[CustomerID],A291)</f>
        <v>18</v>
      </c>
      <c r="C291">
        <f>COUNTIF(Table1[CustomerID],A291)</f>
        <v>1</v>
      </c>
      <c r="D291" s="12">
        <f>SUMIF(Table1[CustomerID],A291,Table1[TransactionAmount])</f>
        <v>628.23</v>
      </c>
      <c r="E291" t="str">
        <f t="shared" si="23"/>
        <v>413</v>
      </c>
      <c r="F291" t="str">
        <f t="shared" si="24"/>
        <v>Potential Loyalists</v>
      </c>
      <c r="J291">
        <f t="shared" si="25"/>
        <v>4</v>
      </c>
      <c r="K291">
        <f t="shared" si="26"/>
        <v>1</v>
      </c>
      <c r="L291">
        <f t="shared" si="27"/>
        <v>3</v>
      </c>
    </row>
    <row r="292" spans="1:12" x14ac:dyDescent="0.35">
      <c r="A292">
        <v>3807</v>
      </c>
      <c r="B292" s="3">
        <f>H$6-_xlfn.MAXIFS(Table1[PurchaseDate],Table1[CustomerID],A292)</f>
        <v>55</v>
      </c>
      <c r="C292">
        <f>COUNTIF(Table1[CustomerID],A292)</f>
        <v>1</v>
      </c>
      <c r="D292" s="12">
        <f>SUMIF(Table1[CustomerID],A292,Table1[TransactionAmount])</f>
        <v>504.86</v>
      </c>
      <c r="E292" t="str">
        <f t="shared" si="23"/>
        <v>113</v>
      </c>
      <c r="F292" t="str">
        <f t="shared" si="24"/>
        <v>Needs Attention</v>
      </c>
      <c r="J292">
        <f t="shared" si="25"/>
        <v>1</v>
      </c>
      <c r="K292">
        <f t="shared" si="26"/>
        <v>1</v>
      </c>
      <c r="L292">
        <f t="shared" si="27"/>
        <v>3</v>
      </c>
    </row>
    <row r="293" spans="1:12" x14ac:dyDescent="0.35">
      <c r="A293">
        <v>3826</v>
      </c>
      <c r="B293" s="3">
        <f>H$6-_xlfn.MAXIFS(Table1[PurchaseDate],Table1[CustomerID],A293)</f>
        <v>8</v>
      </c>
      <c r="C293">
        <f>COUNTIF(Table1[CustomerID],A293)</f>
        <v>1</v>
      </c>
      <c r="D293" s="12">
        <f>SUMIF(Table1[CustomerID],A293,Table1[TransactionAmount])</f>
        <v>676.85</v>
      </c>
      <c r="E293" t="str">
        <f t="shared" si="23"/>
        <v>514</v>
      </c>
      <c r="F293" t="str">
        <f t="shared" si="24"/>
        <v>Potential Loyalists</v>
      </c>
      <c r="J293">
        <f t="shared" si="25"/>
        <v>5</v>
      </c>
      <c r="K293">
        <f t="shared" si="26"/>
        <v>1</v>
      </c>
      <c r="L293">
        <f t="shared" si="27"/>
        <v>4</v>
      </c>
    </row>
    <row r="294" spans="1:12" x14ac:dyDescent="0.35">
      <c r="A294">
        <v>3832</v>
      </c>
      <c r="B294" s="3">
        <f>H$6-_xlfn.MAXIFS(Table1[PurchaseDate],Table1[CustomerID],A294)</f>
        <v>29</v>
      </c>
      <c r="C294">
        <f>COUNTIF(Table1[CustomerID],A294)</f>
        <v>1</v>
      </c>
      <c r="D294" s="12">
        <f>SUMIF(Table1[CustomerID],A294,Table1[TransactionAmount])</f>
        <v>827.45</v>
      </c>
      <c r="E294" t="str">
        <f t="shared" si="23"/>
        <v>315</v>
      </c>
      <c r="F294" t="str">
        <f t="shared" si="24"/>
        <v>Potential Loyalists</v>
      </c>
      <c r="J294">
        <f t="shared" si="25"/>
        <v>3</v>
      </c>
      <c r="K294">
        <f t="shared" si="26"/>
        <v>1</v>
      </c>
      <c r="L294">
        <f t="shared" si="27"/>
        <v>5</v>
      </c>
    </row>
    <row r="295" spans="1:12" x14ac:dyDescent="0.35">
      <c r="A295">
        <v>3837</v>
      </c>
      <c r="B295" s="3">
        <f>H$6-_xlfn.MAXIFS(Table1[PurchaseDate],Table1[CustomerID],A295)</f>
        <v>22</v>
      </c>
      <c r="C295">
        <f>COUNTIF(Table1[CustomerID],A295)</f>
        <v>1</v>
      </c>
      <c r="D295" s="12">
        <f>SUMIF(Table1[CustomerID],A295,Table1[TransactionAmount])</f>
        <v>802.86</v>
      </c>
      <c r="E295" t="str">
        <f t="shared" si="23"/>
        <v>414</v>
      </c>
      <c r="F295" t="str">
        <f t="shared" si="24"/>
        <v>Potential Loyalists</v>
      </c>
      <c r="J295">
        <f t="shared" si="25"/>
        <v>4</v>
      </c>
      <c r="K295">
        <f t="shared" si="26"/>
        <v>1</v>
      </c>
      <c r="L295">
        <f t="shared" si="27"/>
        <v>4</v>
      </c>
    </row>
    <row r="296" spans="1:12" x14ac:dyDescent="0.35">
      <c r="A296">
        <v>3846</v>
      </c>
      <c r="B296" s="3">
        <f>H$6-_xlfn.MAXIFS(Table1[PurchaseDate],Table1[CustomerID],A296)</f>
        <v>48</v>
      </c>
      <c r="C296">
        <f>COUNTIF(Table1[CustomerID],A296)</f>
        <v>1</v>
      </c>
      <c r="D296" s="12">
        <f>SUMIF(Table1[CustomerID],A296,Table1[TransactionAmount])</f>
        <v>876.43</v>
      </c>
      <c r="E296" t="str">
        <f t="shared" si="23"/>
        <v>115</v>
      </c>
      <c r="F296" t="str">
        <f t="shared" si="24"/>
        <v>Needs Attention</v>
      </c>
      <c r="J296">
        <f t="shared" si="25"/>
        <v>1</v>
      </c>
      <c r="K296">
        <f t="shared" si="26"/>
        <v>1</v>
      </c>
      <c r="L296">
        <f t="shared" si="27"/>
        <v>5</v>
      </c>
    </row>
    <row r="297" spans="1:12" x14ac:dyDescent="0.35">
      <c r="A297">
        <v>3852</v>
      </c>
      <c r="B297" s="3">
        <f>H$6-_xlfn.MAXIFS(Table1[PurchaseDate],Table1[CustomerID],A297)</f>
        <v>10</v>
      </c>
      <c r="C297">
        <f>COUNTIF(Table1[CustomerID],A297)</f>
        <v>1</v>
      </c>
      <c r="D297" s="12">
        <f>SUMIF(Table1[CustomerID],A297,Table1[TransactionAmount])</f>
        <v>367.88</v>
      </c>
      <c r="E297" t="str">
        <f t="shared" si="23"/>
        <v>512</v>
      </c>
      <c r="F297" t="str">
        <f t="shared" si="24"/>
        <v>Needs Attention</v>
      </c>
      <c r="J297">
        <f t="shared" si="25"/>
        <v>5</v>
      </c>
      <c r="K297">
        <f t="shared" si="26"/>
        <v>1</v>
      </c>
      <c r="L297">
        <f t="shared" si="27"/>
        <v>2</v>
      </c>
    </row>
    <row r="298" spans="1:12" x14ac:dyDescent="0.35">
      <c r="A298">
        <v>3858</v>
      </c>
      <c r="B298" s="3">
        <f>H$6-_xlfn.MAXIFS(Table1[PurchaseDate],Table1[CustomerID],A298)</f>
        <v>53</v>
      </c>
      <c r="C298">
        <f>COUNTIF(Table1[CustomerID],A298)</f>
        <v>1</v>
      </c>
      <c r="D298" s="12">
        <f>SUMIF(Table1[CustomerID],A298,Table1[TransactionAmount])</f>
        <v>664.45</v>
      </c>
      <c r="E298" t="str">
        <f t="shared" si="23"/>
        <v>114</v>
      </c>
      <c r="F298" t="str">
        <f t="shared" si="24"/>
        <v>Needs Attention</v>
      </c>
      <c r="J298">
        <f t="shared" si="25"/>
        <v>1</v>
      </c>
      <c r="K298">
        <f t="shared" si="26"/>
        <v>1</v>
      </c>
      <c r="L298">
        <f t="shared" si="27"/>
        <v>4</v>
      </c>
    </row>
    <row r="299" spans="1:12" x14ac:dyDescent="0.35">
      <c r="A299">
        <v>3871</v>
      </c>
      <c r="B299" s="3">
        <f>H$6-_xlfn.MAXIFS(Table1[PurchaseDate],Table1[CustomerID],A299)</f>
        <v>20</v>
      </c>
      <c r="C299">
        <f>COUNTIF(Table1[CustomerID],A299)</f>
        <v>1</v>
      </c>
      <c r="D299" s="12">
        <f>SUMIF(Table1[CustomerID],A299,Table1[TransactionAmount])</f>
        <v>499.42</v>
      </c>
      <c r="E299" t="str">
        <f t="shared" si="23"/>
        <v>413</v>
      </c>
      <c r="F299" t="str">
        <f t="shared" si="24"/>
        <v>Potential Loyalists</v>
      </c>
      <c r="J299">
        <f t="shared" si="25"/>
        <v>4</v>
      </c>
      <c r="K299">
        <f t="shared" si="26"/>
        <v>1</v>
      </c>
      <c r="L299">
        <f t="shared" si="27"/>
        <v>3</v>
      </c>
    </row>
    <row r="300" spans="1:12" x14ac:dyDescent="0.35">
      <c r="A300">
        <v>3877</v>
      </c>
      <c r="B300" s="3">
        <f>H$6-_xlfn.MAXIFS(Table1[PurchaseDate],Table1[CustomerID],A300)</f>
        <v>48</v>
      </c>
      <c r="C300">
        <f>COUNTIF(Table1[CustomerID],A300)</f>
        <v>1</v>
      </c>
      <c r="D300" s="12">
        <f>SUMIF(Table1[CustomerID],A300,Table1[TransactionAmount])</f>
        <v>140.84</v>
      </c>
      <c r="E300" t="str">
        <f t="shared" si="23"/>
        <v>111</v>
      </c>
      <c r="F300" t="str">
        <f t="shared" si="24"/>
        <v>At Risk</v>
      </c>
      <c r="J300">
        <f t="shared" si="25"/>
        <v>1</v>
      </c>
      <c r="K300">
        <f t="shared" si="26"/>
        <v>1</v>
      </c>
      <c r="L300">
        <f t="shared" si="27"/>
        <v>1</v>
      </c>
    </row>
    <row r="301" spans="1:12" x14ac:dyDescent="0.35">
      <c r="A301">
        <v>3878</v>
      </c>
      <c r="B301" s="3">
        <f>H$6-_xlfn.MAXIFS(Table1[PurchaseDate],Table1[CustomerID],A301)</f>
        <v>52</v>
      </c>
      <c r="C301">
        <f>COUNTIF(Table1[CustomerID],A301)</f>
        <v>1</v>
      </c>
      <c r="D301" s="12">
        <f>SUMIF(Table1[CustomerID],A301,Table1[TransactionAmount])</f>
        <v>386.41</v>
      </c>
      <c r="E301" t="str">
        <f t="shared" si="23"/>
        <v>112</v>
      </c>
      <c r="F301" t="str">
        <f t="shared" si="24"/>
        <v>At Risk</v>
      </c>
      <c r="J301">
        <f t="shared" si="25"/>
        <v>1</v>
      </c>
      <c r="K301">
        <f t="shared" si="26"/>
        <v>1</v>
      </c>
      <c r="L301">
        <f t="shared" si="27"/>
        <v>2</v>
      </c>
    </row>
    <row r="302" spans="1:12" x14ac:dyDescent="0.35">
      <c r="A302">
        <v>3879</v>
      </c>
      <c r="B302" s="3">
        <f>H$6-_xlfn.MAXIFS(Table1[PurchaseDate],Table1[CustomerID],A302)</f>
        <v>19</v>
      </c>
      <c r="C302">
        <f>COUNTIF(Table1[CustomerID],A302)</f>
        <v>1</v>
      </c>
      <c r="D302" s="12">
        <f>SUMIF(Table1[CustomerID],A302,Table1[TransactionAmount])</f>
        <v>610.55999999999995</v>
      </c>
      <c r="E302" t="str">
        <f t="shared" si="23"/>
        <v>413</v>
      </c>
      <c r="F302" t="str">
        <f t="shared" si="24"/>
        <v>Potential Loyalists</v>
      </c>
      <c r="J302">
        <f t="shared" si="25"/>
        <v>4</v>
      </c>
      <c r="K302">
        <f t="shared" si="26"/>
        <v>1</v>
      </c>
      <c r="L302">
        <f t="shared" si="27"/>
        <v>3</v>
      </c>
    </row>
    <row r="303" spans="1:12" x14ac:dyDescent="0.35">
      <c r="A303">
        <v>3880</v>
      </c>
      <c r="B303" s="3">
        <f>H$6-_xlfn.MAXIFS(Table1[PurchaseDate],Table1[CustomerID],A303)</f>
        <v>1</v>
      </c>
      <c r="C303">
        <f>COUNTIF(Table1[CustomerID],A303)</f>
        <v>1</v>
      </c>
      <c r="D303" s="12">
        <f>SUMIF(Table1[CustomerID],A303,Table1[TransactionAmount])</f>
        <v>920.44</v>
      </c>
      <c r="E303" t="str">
        <f t="shared" si="23"/>
        <v>515</v>
      </c>
      <c r="F303" t="str">
        <f t="shared" si="24"/>
        <v>Potential Loyalists</v>
      </c>
      <c r="J303">
        <f t="shared" si="25"/>
        <v>5</v>
      </c>
      <c r="K303">
        <f t="shared" si="26"/>
        <v>1</v>
      </c>
      <c r="L303">
        <f t="shared" si="27"/>
        <v>5</v>
      </c>
    </row>
    <row r="304" spans="1:12" x14ac:dyDescent="0.35">
      <c r="A304">
        <v>3906</v>
      </c>
      <c r="B304" s="3">
        <f>H$6-_xlfn.MAXIFS(Table1[PurchaseDate],Table1[CustomerID],A304)</f>
        <v>31</v>
      </c>
      <c r="C304">
        <f>COUNTIF(Table1[CustomerID],A304)</f>
        <v>1</v>
      </c>
      <c r="D304" s="12">
        <f>SUMIF(Table1[CustomerID],A304,Table1[TransactionAmount])</f>
        <v>751.84</v>
      </c>
      <c r="E304" t="str">
        <f t="shared" si="23"/>
        <v>314</v>
      </c>
      <c r="F304" t="str">
        <f t="shared" si="24"/>
        <v>Potential Loyalists</v>
      </c>
      <c r="J304">
        <f t="shared" si="25"/>
        <v>3</v>
      </c>
      <c r="K304">
        <f t="shared" si="26"/>
        <v>1</v>
      </c>
      <c r="L304">
        <f t="shared" si="27"/>
        <v>4</v>
      </c>
    </row>
    <row r="305" spans="1:12" x14ac:dyDescent="0.35">
      <c r="A305">
        <v>3926</v>
      </c>
      <c r="B305" s="3">
        <f>H$6-_xlfn.MAXIFS(Table1[PurchaseDate],Table1[CustomerID],A305)</f>
        <v>5</v>
      </c>
      <c r="C305">
        <f>COUNTIF(Table1[CustomerID],A305)</f>
        <v>1</v>
      </c>
      <c r="D305" s="12">
        <f>SUMIF(Table1[CustomerID],A305,Table1[TransactionAmount])</f>
        <v>40.96</v>
      </c>
      <c r="E305" t="str">
        <f t="shared" si="23"/>
        <v>511</v>
      </c>
      <c r="F305" t="str">
        <f t="shared" si="24"/>
        <v>Needs Attention</v>
      </c>
      <c r="J305">
        <f t="shared" si="25"/>
        <v>5</v>
      </c>
      <c r="K305">
        <f t="shared" si="26"/>
        <v>1</v>
      </c>
      <c r="L305">
        <f t="shared" si="27"/>
        <v>1</v>
      </c>
    </row>
    <row r="306" spans="1:12" x14ac:dyDescent="0.35">
      <c r="A306">
        <v>3937</v>
      </c>
      <c r="B306" s="3">
        <f>H$6-_xlfn.MAXIFS(Table1[PurchaseDate],Table1[CustomerID],A306)</f>
        <v>54</v>
      </c>
      <c r="C306">
        <f>COUNTIF(Table1[CustomerID],A306)</f>
        <v>1</v>
      </c>
      <c r="D306" s="12">
        <f>SUMIF(Table1[CustomerID],A306,Table1[TransactionAmount])</f>
        <v>918.87</v>
      </c>
      <c r="E306" t="str">
        <f t="shared" si="23"/>
        <v>115</v>
      </c>
      <c r="F306" t="str">
        <f t="shared" si="24"/>
        <v>Needs Attention</v>
      </c>
      <c r="J306">
        <f t="shared" si="25"/>
        <v>1</v>
      </c>
      <c r="K306">
        <f t="shared" si="26"/>
        <v>1</v>
      </c>
      <c r="L306">
        <f t="shared" si="27"/>
        <v>5</v>
      </c>
    </row>
    <row r="307" spans="1:12" x14ac:dyDescent="0.35">
      <c r="A307">
        <v>3938</v>
      </c>
      <c r="B307" s="3">
        <f>H$6-_xlfn.MAXIFS(Table1[PurchaseDate],Table1[CustomerID],A307)</f>
        <v>13</v>
      </c>
      <c r="C307">
        <f>COUNTIF(Table1[CustomerID],A307)</f>
        <v>2</v>
      </c>
      <c r="D307" s="12">
        <f>SUMIF(Table1[CustomerID],A307,Table1[TransactionAmount])</f>
        <v>1731.53</v>
      </c>
      <c r="E307" t="str">
        <f t="shared" si="23"/>
        <v>435</v>
      </c>
      <c r="F307" t="str">
        <f t="shared" si="24"/>
        <v>Champions</v>
      </c>
      <c r="J307">
        <f t="shared" si="25"/>
        <v>4</v>
      </c>
      <c r="K307">
        <f t="shared" si="26"/>
        <v>3</v>
      </c>
      <c r="L307">
        <f t="shared" si="27"/>
        <v>5</v>
      </c>
    </row>
    <row r="308" spans="1:12" x14ac:dyDescent="0.35">
      <c r="A308">
        <v>3945</v>
      </c>
      <c r="B308" s="3">
        <f>H$6-_xlfn.MAXIFS(Table1[PurchaseDate],Table1[CustomerID],A308)</f>
        <v>11</v>
      </c>
      <c r="C308">
        <f>COUNTIF(Table1[CustomerID],A308)</f>
        <v>1</v>
      </c>
      <c r="D308" s="12">
        <f>SUMIF(Table1[CustomerID],A308,Table1[TransactionAmount])</f>
        <v>589.59</v>
      </c>
      <c r="E308" t="str">
        <f t="shared" si="23"/>
        <v>513</v>
      </c>
      <c r="F308" t="str">
        <f t="shared" si="24"/>
        <v>Potential Loyalists</v>
      </c>
      <c r="J308">
        <f t="shared" si="25"/>
        <v>5</v>
      </c>
      <c r="K308">
        <f t="shared" si="26"/>
        <v>1</v>
      </c>
      <c r="L308">
        <f t="shared" si="27"/>
        <v>3</v>
      </c>
    </row>
    <row r="309" spans="1:12" x14ac:dyDescent="0.35">
      <c r="A309">
        <v>3954</v>
      </c>
      <c r="B309" s="3">
        <f>H$6-_xlfn.MAXIFS(Table1[PurchaseDate],Table1[CustomerID],A309)</f>
        <v>11</v>
      </c>
      <c r="C309">
        <f>COUNTIF(Table1[CustomerID],A309)</f>
        <v>1</v>
      </c>
      <c r="D309" s="12">
        <f>SUMIF(Table1[CustomerID],A309,Table1[TransactionAmount])</f>
        <v>90</v>
      </c>
      <c r="E309" t="str">
        <f t="shared" si="23"/>
        <v>511</v>
      </c>
      <c r="F309" t="str">
        <f t="shared" si="24"/>
        <v>Needs Attention</v>
      </c>
      <c r="J309">
        <f t="shared" si="25"/>
        <v>5</v>
      </c>
      <c r="K309">
        <f t="shared" si="26"/>
        <v>1</v>
      </c>
      <c r="L309">
        <f t="shared" si="27"/>
        <v>1</v>
      </c>
    </row>
    <row r="310" spans="1:12" x14ac:dyDescent="0.35">
      <c r="A310">
        <v>3972</v>
      </c>
      <c r="B310" s="3">
        <f>H$6-_xlfn.MAXIFS(Table1[PurchaseDate],Table1[CustomerID],A310)</f>
        <v>5</v>
      </c>
      <c r="C310">
        <f>COUNTIF(Table1[CustomerID],A310)</f>
        <v>1</v>
      </c>
      <c r="D310" s="12">
        <f>SUMIF(Table1[CustomerID],A310,Table1[TransactionAmount])</f>
        <v>151.82</v>
      </c>
      <c r="E310" t="str">
        <f t="shared" si="23"/>
        <v>511</v>
      </c>
      <c r="F310" t="str">
        <f t="shared" si="24"/>
        <v>Needs Attention</v>
      </c>
      <c r="J310">
        <f t="shared" si="25"/>
        <v>5</v>
      </c>
      <c r="K310">
        <f t="shared" si="26"/>
        <v>1</v>
      </c>
      <c r="L310">
        <f t="shared" si="27"/>
        <v>1</v>
      </c>
    </row>
    <row r="311" spans="1:12" x14ac:dyDescent="0.35">
      <c r="A311">
        <v>3983</v>
      </c>
      <c r="B311" s="3">
        <f>H$6-_xlfn.MAXIFS(Table1[PurchaseDate],Table1[CustomerID],A311)</f>
        <v>22</v>
      </c>
      <c r="C311">
        <f>COUNTIF(Table1[CustomerID],A311)</f>
        <v>1</v>
      </c>
      <c r="D311" s="12">
        <f>SUMIF(Table1[CustomerID],A311,Table1[TransactionAmount])</f>
        <v>325.02999999999997</v>
      </c>
      <c r="E311" t="str">
        <f t="shared" si="23"/>
        <v>412</v>
      </c>
      <c r="F311" t="str">
        <f t="shared" si="24"/>
        <v>Needs Attention</v>
      </c>
      <c r="J311">
        <f t="shared" si="25"/>
        <v>4</v>
      </c>
      <c r="K311">
        <f t="shared" si="26"/>
        <v>1</v>
      </c>
      <c r="L311">
        <f t="shared" si="27"/>
        <v>2</v>
      </c>
    </row>
    <row r="312" spans="1:12" x14ac:dyDescent="0.35">
      <c r="A312">
        <v>4014</v>
      </c>
      <c r="B312" s="3">
        <f>H$6-_xlfn.MAXIFS(Table1[PurchaseDate],Table1[CustomerID],A312)</f>
        <v>6</v>
      </c>
      <c r="C312">
        <f>COUNTIF(Table1[CustomerID],A312)</f>
        <v>1</v>
      </c>
      <c r="D312" s="12">
        <f>SUMIF(Table1[CustomerID],A312,Table1[TransactionAmount])</f>
        <v>393.59</v>
      </c>
      <c r="E312" t="str">
        <f t="shared" si="23"/>
        <v>512</v>
      </c>
      <c r="F312" t="str">
        <f t="shared" si="24"/>
        <v>Needs Attention</v>
      </c>
      <c r="J312">
        <f t="shared" si="25"/>
        <v>5</v>
      </c>
      <c r="K312">
        <f t="shared" si="26"/>
        <v>1</v>
      </c>
      <c r="L312">
        <f t="shared" si="27"/>
        <v>2</v>
      </c>
    </row>
    <row r="313" spans="1:12" x14ac:dyDescent="0.35">
      <c r="A313">
        <v>4022</v>
      </c>
      <c r="B313" s="3">
        <f>H$6-_xlfn.MAXIFS(Table1[PurchaseDate],Table1[CustomerID],A313)</f>
        <v>49</v>
      </c>
      <c r="C313">
        <f>COUNTIF(Table1[CustomerID],A313)</f>
        <v>1</v>
      </c>
      <c r="D313" s="12">
        <f>SUMIF(Table1[CustomerID],A313,Table1[TransactionAmount])</f>
        <v>644.07000000000005</v>
      </c>
      <c r="E313" t="str">
        <f t="shared" si="23"/>
        <v>114</v>
      </c>
      <c r="F313" t="str">
        <f t="shared" si="24"/>
        <v>Needs Attention</v>
      </c>
      <c r="J313">
        <f t="shared" si="25"/>
        <v>1</v>
      </c>
      <c r="K313">
        <f t="shared" si="26"/>
        <v>1</v>
      </c>
      <c r="L313">
        <f t="shared" si="27"/>
        <v>4</v>
      </c>
    </row>
    <row r="314" spans="1:12" x14ac:dyDescent="0.35">
      <c r="A314">
        <v>4029</v>
      </c>
      <c r="B314" s="3">
        <f>H$6-_xlfn.MAXIFS(Table1[PurchaseDate],Table1[CustomerID],A314)</f>
        <v>37</v>
      </c>
      <c r="C314">
        <f>COUNTIF(Table1[CustomerID],A314)</f>
        <v>1</v>
      </c>
      <c r="D314" s="12">
        <f>SUMIF(Table1[CustomerID],A314,Table1[TransactionAmount])</f>
        <v>886.64</v>
      </c>
      <c r="E314" t="str">
        <f t="shared" si="23"/>
        <v>315</v>
      </c>
      <c r="F314" t="str">
        <f t="shared" si="24"/>
        <v>Potential Loyalists</v>
      </c>
      <c r="J314">
        <f t="shared" si="25"/>
        <v>3</v>
      </c>
      <c r="K314">
        <f t="shared" si="26"/>
        <v>1</v>
      </c>
      <c r="L314">
        <f t="shared" si="27"/>
        <v>5</v>
      </c>
    </row>
    <row r="315" spans="1:12" x14ac:dyDescent="0.35">
      <c r="A315">
        <v>4044</v>
      </c>
      <c r="B315" s="3">
        <f>H$6-_xlfn.MAXIFS(Table1[PurchaseDate],Table1[CustomerID],A315)</f>
        <v>56</v>
      </c>
      <c r="C315">
        <f>COUNTIF(Table1[CustomerID],A315)</f>
        <v>1</v>
      </c>
      <c r="D315" s="12">
        <f>SUMIF(Table1[CustomerID],A315,Table1[TransactionAmount])</f>
        <v>599.08000000000004</v>
      </c>
      <c r="E315" t="str">
        <f t="shared" si="23"/>
        <v>113</v>
      </c>
      <c r="F315" t="str">
        <f t="shared" si="24"/>
        <v>Needs Attention</v>
      </c>
      <c r="J315">
        <f t="shared" si="25"/>
        <v>1</v>
      </c>
      <c r="K315">
        <f t="shared" si="26"/>
        <v>1</v>
      </c>
      <c r="L315">
        <f t="shared" si="27"/>
        <v>3</v>
      </c>
    </row>
    <row r="316" spans="1:12" x14ac:dyDescent="0.35">
      <c r="A316">
        <v>4048</v>
      </c>
      <c r="B316" s="3">
        <f>H$6-_xlfn.MAXIFS(Table1[PurchaseDate],Table1[CustomerID],A316)</f>
        <v>29</v>
      </c>
      <c r="C316">
        <f>COUNTIF(Table1[CustomerID],A316)</f>
        <v>1</v>
      </c>
      <c r="D316" s="12">
        <f>SUMIF(Table1[CustomerID],A316,Table1[TransactionAmount])</f>
        <v>522.57000000000005</v>
      </c>
      <c r="E316" t="str">
        <f t="shared" si="23"/>
        <v>313</v>
      </c>
      <c r="F316" t="str">
        <f t="shared" si="24"/>
        <v>Potential Loyalists</v>
      </c>
      <c r="J316">
        <f t="shared" si="25"/>
        <v>3</v>
      </c>
      <c r="K316">
        <f t="shared" si="26"/>
        <v>1</v>
      </c>
      <c r="L316">
        <f t="shared" si="27"/>
        <v>3</v>
      </c>
    </row>
    <row r="317" spans="1:12" x14ac:dyDescent="0.35">
      <c r="A317">
        <v>4052</v>
      </c>
      <c r="B317" s="3">
        <f>H$6-_xlfn.MAXIFS(Table1[PurchaseDate],Table1[CustomerID],A317)</f>
        <v>1</v>
      </c>
      <c r="C317">
        <f>COUNTIF(Table1[CustomerID],A317)</f>
        <v>1</v>
      </c>
      <c r="D317" s="12">
        <f>SUMIF(Table1[CustomerID],A317,Table1[TransactionAmount])</f>
        <v>751.51</v>
      </c>
      <c r="E317" t="str">
        <f t="shared" si="23"/>
        <v>514</v>
      </c>
      <c r="F317" t="str">
        <f t="shared" si="24"/>
        <v>Potential Loyalists</v>
      </c>
      <c r="J317">
        <f t="shared" si="25"/>
        <v>5</v>
      </c>
      <c r="K317">
        <f t="shared" si="26"/>
        <v>1</v>
      </c>
      <c r="L317">
        <f t="shared" si="27"/>
        <v>4</v>
      </c>
    </row>
    <row r="318" spans="1:12" x14ac:dyDescent="0.35">
      <c r="A318">
        <v>4054</v>
      </c>
      <c r="B318" s="3">
        <f>H$6-_xlfn.MAXIFS(Table1[PurchaseDate],Table1[CustomerID],A318)</f>
        <v>48</v>
      </c>
      <c r="C318">
        <f>COUNTIF(Table1[CustomerID],A318)</f>
        <v>1</v>
      </c>
      <c r="D318" s="12">
        <f>SUMIF(Table1[CustomerID],A318,Table1[TransactionAmount])</f>
        <v>505.64</v>
      </c>
      <c r="E318" t="str">
        <f t="shared" si="23"/>
        <v>113</v>
      </c>
      <c r="F318" t="str">
        <f t="shared" si="24"/>
        <v>Needs Attention</v>
      </c>
      <c r="J318">
        <f t="shared" si="25"/>
        <v>1</v>
      </c>
      <c r="K318">
        <f t="shared" si="26"/>
        <v>1</v>
      </c>
      <c r="L318">
        <f t="shared" si="27"/>
        <v>3</v>
      </c>
    </row>
    <row r="319" spans="1:12" x14ac:dyDescent="0.35">
      <c r="A319">
        <v>4090</v>
      </c>
      <c r="B319" s="3">
        <f>H$6-_xlfn.MAXIFS(Table1[PurchaseDate],Table1[CustomerID],A319)</f>
        <v>16</v>
      </c>
      <c r="C319">
        <f>COUNTIF(Table1[CustomerID],A319)</f>
        <v>1</v>
      </c>
      <c r="D319" s="12">
        <f>SUMIF(Table1[CustomerID],A319,Table1[TransactionAmount])</f>
        <v>246.42</v>
      </c>
      <c r="E319" t="str">
        <f t="shared" si="23"/>
        <v>412</v>
      </c>
      <c r="F319" t="str">
        <f t="shared" si="24"/>
        <v>Needs Attention</v>
      </c>
      <c r="J319">
        <f t="shared" si="25"/>
        <v>4</v>
      </c>
      <c r="K319">
        <f t="shared" si="26"/>
        <v>1</v>
      </c>
      <c r="L319">
        <f t="shared" si="27"/>
        <v>2</v>
      </c>
    </row>
    <row r="320" spans="1:12" x14ac:dyDescent="0.35">
      <c r="A320">
        <v>4110</v>
      </c>
      <c r="B320" s="3">
        <f>H$6-_xlfn.MAXIFS(Table1[PurchaseDate],Table1[CustomerID],A320)</f>
        <v>12</v>
      </c>
      <c r="C320">
        <f>COUNTIF(Table1[CustomerID],A320)</f>
        <v>1</v>
      </c>
      <c r="D320" s="12">
        <f>SUMIF(Table1[CustomerID],A320,Table1[TransactionAmount])</f>
        <v>167.75</v>
      </c>
      <c r="E320" t="str">
        <f t="shared" si="23"/>
        <v>511</v>
      </c>
      <c r="F320" t="str">
        <f t="shared" si="24"/>
        <v>Needs Attention</v>
      </c>
      <c r="J320">
        <f t="shared" si="25"/>
        <v>5</v>
      </c>
      <c r="K320">
        <f t="shared" si="26"/>
        <v>1</v>
      </c>
      <c r="L320">
        <f t="shared" si="27"/>
        <v>1</v>
      </c>
    </row>
    <row r="321" spans="1:12" x14ac:dyDescent="0.35">
      <c r="A321">
        <v>4111</v>
      </c>
      <c r="B321" s="3">
        <f>H$6-_xlfn.MAXIFS(Table1[PurchaseDate],Table1[CustomerID],A321)</f>
        <v>39</v>
      </c>
      <c r="C321">
        <f>COUNTIF(Table1[CustomerID],A321)</f>
        <v>1</v>
      </c>
      <c r="D321" s="12">
        <f>SUMIF(Table1[CustomerID],A321,Table1[TransactionAmount])</f>
        <v>729.28</v>
      </c>
      <c r="E321" t="str">
        <f t="shared" si="23"/>
        <v>214</v>
      </c>
      <c r="F321" t="str">
        <f t="shared" si="24"/>
        <v>Needs Attention</v>
      </c>
      <c r="J321">
        <f t="shared" si="25"/>
        <v>2</v>
      </c>
      <c r="K321">
        <f t="shared" si="26"/>
        <v>1</v>
      </c>
      <c r="L321">
        <f t="shared" si="27"/>
        <v>4</v>
      </c>
    </row>
    <row r="322" spans="1:12" x14ac:dyDescent="0.35">
      <c r="A322">
        <v>4116</v>
      </c>
      <c r="B322" s="3">
        <f>H$6-_xlfn.MAXIFS(Table1[PurchaseDate],Table1[CustomerID],A322)</f>
        <v>26</v>
      </c>
      <c r="C322">
        <f>COUNTIF(Table1[CustomerID],A322)</f>
        <v>1</v>
      </c>
      <c r="D322" s="12">
        <f>SUMIF(Table1[CustomerID],A322,Table1[TransactionAmount])</f>
        <v>454.13</v>
      </c>
      <c r="E322" t="str">
        <f t="shared" si="23"/>
        <v>313</v>
      </c>
      <c r="F322" t="str">
        <f t="shared" si="24"/>
        <v>Potential Loyalists</v>
      </c>
      <c r="J322">
        <f t="shared" si="25"/>
        <v>3</v>
      </c>
      <c r="K322">
        <f t="shared" si="26"/>
        <v>1</v>
      </c>
      <c r="L322">
        <f t="shared" si="27"/>
        <v>3</v>
      </c>
    </row>
    <row r="323" spans="1:12" x14ac:dyDescent="0.35">
      <c r="A323">
        <v>4131</v>
      </c>
      <c r="B323" s="3">
        <f>H$6-_xlfn.MAXIFS(Table1[PurchaseDate],Table1[CustomerID],A323)</f>
        <v>42</v>
      </c>
      <c r="C323">
        <f>COUNTIF(Table1[CustomerID],A323)</f>
        <v>1</v>
      </c>
      <c r="D323" s="12">
        <f>SUMIF(Table1[CustomerID],A323,Table1[TransactionAmount])</f>
        <v>363.4</v>
      </c>
      <c r="E323" t="str">
        <f t="shared" si="23"/>
        <v>212</v>
      </c>
      <c r="F323" t="str">
        <f t="shared" si="24"/>
        <v>At Risk</v>
      </c>
      <c r="J323">
        <f t="shared" si="25"/>
        <v>2</v>
      </c>
      <c r="K323">
        <f t="shared" si="26"/>
        <v>1</v>
      </c>
      <c r="L323">
        <f t="shared" si="27"/>
        <v>2</v>
      </c>
    </row>
    <row r="324" spans="1:12" x14ac:dyDescent="0.35">
      <c r="A324">
        <v>4150</v>
      </c>
      <c r="B324" s="3">
        <f>H$6-_xlfn.MAXIFS(Table1[PurchaseDate],Table1[CustomerID],A324)</f>
        <v>45</v>
      </c>
      <c r="C324">
        <f>COUNTIF(Table1[CustomerID],A324)</f>
        <v>1</v>
      </c>
      <c r="D324" s="12">
        <f>SUMIF(Table1[CustomerID],A324,Table1[TransactionAmount])</f>
        <v>286.22000000000003</v>
      </c>
      <c r="E324" t="str">
        <f t="shared" ref="E324:E387" si="28">J324&amp;K324&amp;L324</f>
        <v>212</v>
      </c>
      <c r="F324" t="str">
        <f t="shared" ref="F324:F387" si="29">IF(AND(J324&gt;=4,K324&gt;=3,L324&gt;=4),"Champions",IF(AND(J324&gt;=3,K324&gt;=2,L324&gt;=3),"Loyal Customers",IF(AND(J324&gt;=3,L324&gt;=3),"Potential Loyalists",IF(AND(J324&lt;=2,L324&lt;=2),"At Risk","Needs Attention"))))</f>
        <v>At Risk</v>
      </c>
      <c r="J324">
        <f t="shared" ref="J324:J387" si="30">ROUNDUP((COUNT($B$3:$B$948)-_xlfn.RANK.EQ(B324,$B$3:$B$948,1)+1)/COUNT($B$3:$B$948)*5,0)</f>
        <v>2</v>
      </c>
      <c r="K324">
        <f t="shared" ref="K324:K387" si="31">IF(C324=1,1,IF(C324=2,3,IF(C324=3,4,5)))</f>
        <v>1</v>
      </c>
      <c r="L324">
        <f t="shared" ref="L324:L387" si="32">IF(D324&gt;=_xlfn.PERCENTILE.INC($D$3:$D$948,0.8),5,IF(D324&gt;=_xlfn.PERCENTILE.INC($D$3:$D$948,0.6),4,IF(D324&gt;=_xlfn.PERCENTILE.INC($D$3:$D$948,0.4),3,IF(D324&gt;=_xlfn.PERCENTILE.INC($D$3:$D$948,0.2),2,1))))</f>
        <v>2</v>
      </c>
    </row>
    <row r="325" spans="1:12" x14ac:dyDescent="0.35">
      <c r="A325">
        <v>4154</v>
      </c>
      <c r="B325" s="3">
        <f>H$6-_xlfn.MAXIFS(Table1[PurchaseDate],Table1[CustomerID],A325)</f>
        <v>40</v>
      </c>
      <c r="C325">
        <f>COUNTIF(Table1[CustomerID],A325)</f>
        <v>1</v>
      </c>
      <c r="D325" s="12">
        <f>SUMIF(Table1[CustomerID],A325,Table1[TransactionAmount])</f>
        <v>518.76</v>
      </c>
      <c r="E325" t="str">
        <f t="shared" si="28"/>
        <v>213</v>
      </c>
      <c r="F325" t="str">
        <f t="shared" si="29"/>
        <v>Needs Attention</v>
      </c>
      <c r="J325">
        <f t="shared" si="30"/>
        <v>2</v>
      </c>
      <c r="K325">
        <f t="shared" si="31"/>
        <v>1</v>
      </c>
      <c r="L325">
        <f t="shared" si="32"/>
        <v>3</v>
      </c>
    </row>
    <row r="326" spans="1:12" x14ac:dyDescent="0.35">
      <c r="A326">
        <v>4157</v>
      </c>
      <c r="B326" s="3">
        <f>H$6-_xlfn.MAXIFS(Table1[PurchaseDate],Table1[CustomerID],A326)</f>
        <v>52</v>
      </c>
      <c r="C326">
        <f>COUNTIF(Table1[CustomerID],A326)</f>
        <v>1</v>
      </c>
      <c r="D326" s="12">
        <f>SUMIF(Table1[CustomerID],A326,Table1[TransactionAmount])</f>
        <v>52.25</v>
      </c>
      <c r="E326" t="str">
        <f t="shared" si="28"/>
        <v>111</v>
      </c>
      <c r="F326" t="str">
        <f t="shared" si="29"/>
        <v>At Risk</v>
      </c>
      <c r="J326">
        <f t="shared" si="30"/>
        <v>1</v>
      </c>
      <c r="K326">
        <f t="shared" si="31"/>
        <v>1</v>
      </c>
      <c r="L326">
        <f t="shared" si="32"/>
        <v>1</v>
      </c>
    </row>
    <row r="327" spans="1:12" x14ac:dyDescent="0.35">
      <c r="A327">
        <v>4161</v>
      </c>
      <c r="B327" s="3">
        <f>H$6-_xlfn.MAXIFS(Table1[PurchaseDate],Table1[CustomerID],A327)</f>
        <v>59</v>
      </c>
      <c r="C327">
        <f>COUNTIF(Table1[CustomerID],A327)</f>
        <v>1</v>
      </c>
      <c r="D327" s="12">
        <f>SUMIF(Table1[CustomerID],A327,Table1[TransactionAmount])</f>
        <v>692.36</v>
      </c>
      <c r="E327" t="str">
        <f t="shared" si="28"/>
        <v>114</v>
      </c>
      <c r="F327" t="str">
        <f t="shared" si="29"/>
        <v>Needs Attention</v>
      </c>
      <c r="J327">
        <f t="shared" si="30"/>
        <v>1</v>
      </c>
      <c r="K327">
        <f t="shared" si="31"/>
        <v>1</v>
      </c>
      <c r="L327">
        <f t="shared" si="32"/>
        <v>4</v>
      </c>
    </row>
    <row r="328" spans="1:12" x14ac:dyDescent="0.35">
      <c r="A328">
        <v>4164</v>
      </c>
      <c r="B328" s="3">
        <f>H$6-_xlfn.MAXIFS(Table1[PurchaseDate],Table1[CustomerID],A328)</f>
        <v>49</v>
      </c>
      <c r="C328">
        <f>COUNTIF(Table1[CustomerID],A328)</f>
        <v>1</v>
      </c>
      <c r="D328" s="12">
        <f>SUMIF(Table1[CustomerID],A328,Table1[TransactionAmount])</f>
        <v>614.84</v>
      </c>
      <c r="E328" t="str">
        <f t="shared" si="28"/>
        <v>113</v>
      </c>
      <c r="F328" t="str">
        <f t="shared" si="29"/>
        <v>Needs Attention</v>
      </c>
      <c r="J328">
        <f t="shared" si="30"/>
        <v>1</v>
      </c>
      <c r="K328">
        <f t="shared" si="31"/>
        <v>1</v>
      </c>
      <c r="L328">
        <f t="shared" si="32"/>
        <v>3</v>
      </c>
    </row>
    <row r="329" spans="1:12" x14ac:dyDescent="0.35">
      <c r="A329">
        <v>4166</v>
      </c>
      <c r="B329" s="3">
        <f>H$6-_xlfn.MAXIFS(Table1[PurchaseDate],Table1[CustomerID],A329)</f>
        <v>46</v>
      </c>
      <c r="C329">
        <f>COUNTIF(Table1[CustomerID],A329)</f>
        <v>1</v>
      </c>
      <c r="D329" s="12">
        <f>SUMIF(Table1[CustomerID],A329,Table1[TransactionAmount])</f>
        <v>41.91</v>
      </c>
      <c r="E329" t="str">
        <f t="shared" si="28"/>
        <v>211</v>
      </c>
      <c r="F329" t="str">
        <f t="shared" si="29"/>
        <v>At Risk</v>
      </c>
      <c r="J329">
        <f t="shared" si="30"/>
        <v>2</v>
      </c>
      <c r="K329">
        <f t="shared" si="31"/>
        <v>1</v>
      </c>
      <c r="L329">
        <f t="shared" si="32"/>
        <v>1</v>
      </c>
    </row>
    <row r="330" spans="1:12" x14ac:dyDescent="0.35">
      <c r="A330">
        <v>4178</v>
      </c>
      <c r="B330" s="3">
        <f>H$6-_xlfn.MAXIFS(Table1[PurchaseDate],Table1[CustomerID],A330)</f>
        <v>37</v>
      </c>
      <c r="C330">
        <f>COUNTIF(Table1[CustomerID],A330)</f>
        <v>1</v>
      </c>
      <c r="D330" s="12">
        <f>SUMIF(Table1[CustomerID],A330,Table1[TransactionAmount])</f>
        <v>681.52</v>
      </c>
      <c r="E330" t="str">
        <f t="shared" si="28"/>
        <v>314</v>
      </c>
      <c r="F330" t="str">
        <f t="shared" si="29"/>
        <v>Potential Loyalists</v>
      </c>
      <c r="J330">
        <f t="shared" si="30"/>
        <v>3</v>
      </c>
      <c r="K330">
        <f t="shared" si="31"/>
        <v>1</v>
      </c>
      <c r="L330">
        <f t="shared" si="32"/>
        <v>4</v>
      </c>
    </row>
    <row r="331" spans="1:12" x14ac:dyDescent="0.35">
      <c r="A331">
        <v>4185</v>
      </c>
      <c r="B331" s="3">
        <f>H$6-_xlfn.MAXIFS(Table1[PurchaseDate],Table1[CustomerID],A331)</f>
        <v>15</v>
      </c>
      <c r="C331">
        <f>COUNTIF(Table1[CustomerID],A331)</f>
        <v>1</v>
      </c>
      <c r="D331" s="12">
        <f>SUMIF(Table1[CustomerID],A331,Table1[TransactionAmount])</f>
        <v>699.39</v>
      </c>
      <c r="E331" t="str">
        <f t="shared" si="28"/>
        <v>414</v>
      </c>
      <c r="F331" t="str">
        <f t="shared" si="29"/>
        <v>Potential Loyalists</v>
      </c>
      <c r="J331">
        <f t="shared" si="30"/>
        <v>4</v>
      </c>
      <c r="K331">
        <f t="shared" si="31"/>
        <v>1</v>
      </c>
      <c r="L331">
        <f t="shared" si="32"/>
        <v>4</v>
      </c>
    </row>
    <row r="332" spans="1:12" x14ac:dyDescent="0.35">
      <c r="A332">
        <v>4190</v>
      </c>
      <c r="B332" s="3">
        <f>H$6-_xlfn.MAXIFS(Table1[PurchaseDate],Table1[CustomerID],A332)</f>
        <v>58</v>
      </c>
      <c r="C332">
        <f>COUNTIF(Table1[CustomerID],A332)</f>
        <v>1</v>
      </c>
      <c r="D332" s="12">
        <f>SUMIF(Table1[CustomerID],A332,Table1[TransactionAmount])</f>
        <v>786.12</v>
      </c>
      <c r="E332" t="str">
        <f t="shared" si="28"/>
        <v>114</v>
      </c>
      <c r="F332" t="str">
        <f t="shared" si="29"/>
        <v>Needs Attention</v>
      </c>
      <c r="J332">
        <f t="shared" si="30"/>
        <v>1</v>
      </c>
      <c r="K332">
        <f t="shared" si="31"/>
        <v>1</v>
      </c>
      <c r="L332">
        <f t="shared" si="32"/>
        <v>4</v>
      </c>
    </row>
    <row r="333" spans="1:12" x14ac:dyDescent="0.35">
      <c r="A333">
        <v>4196</v>
      </c>
      <c r="B333" s="3">
        <f>H$6-_xlfn.MAXIFS(Table1[PurchaseDate],Table1[CustomerID],A333)</f>
        <v>8</v>
      </c>
      <c r="C333">
        <f>COUNTIF(Table1[CustomerID],A333)</f>
        <v>1</v>
      </c>
      <c r="D333" s="12">
        <f>SUMIF(Table1[CustomerID],A333,Table1[TransactionAmount])</f>
        <v>390.1</v>
      </c>
      <c r="E333" t="str">
        <f t="shared" si="28"/>
        <v>512</v>
      </c>
      <c r="F333" t="str">
        <f t="shared" si="29"/>
        <v>Needs Attention</v>
      </c>
      <c r="J333">
        <f t="shared" si="30"/>
        <v>5</v>
      </c>
      <c r="K333">
        <f t="shared" si="31"/>
        <v>1</v>
      </c>
      <c r="L333">
        <f t="shared" si="32"/>
        <v>2</v>
      </c>
    </row>
    <row r="334" spans="1:12" x14ac:dyDescent="0.35">
      <c r="A334">
        <v>4214</v>
      </c>
      <c r="B334" s="3">
        <f>H$6-_xlfn.MAXIFS(Table1[PurchaseDate],Table1[CustomerID],A334)</f>
        <v>39</v>
      </c>
      <c r="C334">
        <f>COUNTIF(Table1[CustomerID],A334)</f>
        <v>1</v>
      </c>
      <c r="D334" s="12">
        <f>SUMIF(Table1[CustomerID],A334,Table1[TransactionAmount])</f>
        <v>237.72</v>
      </c>
      <c r="E334" t="str">
        <f t="shared" si="28"/>
        <v>212</v>
      </c>
      <c r="F334" t="str">
        <f t="shared" si="29"/>
        <v>At Risk</v>
      </c>
      <c r="J334">
        <f t="shared" si="30"/>
        <v>2</v>
      </c>
      <c r="K334">
        <f t="shared" si="31"/>
        <v>1</v>
      </c>
      <c r="L334">
        <f t="shared" si="32"/>
        <v>2</v>
      </c>
    </row>
    <row r="335" spans="1:12" x14ac:dyDescent="0.35">
      <c r="A335">
        <v>4232</v>
      </c>
      <c r="B335" s="3">
        <f>H$6-_xlfn.MAXIFS(Table1[PurchaseDate],Table1[CustomerID],A335)</f>
        <v>32</v>
      </c>
      <c r="C335">
        <f>COUNTIF(Table1[CustomerID],A335)</f>
        <v>1</v>
      </c>
      <c r="D335" s="12">
        <f>SUMIF(Table1[CustomerID],A335,Table1[TransactionAmount])</f>
        <v>596.28</v>
      </c>
      <c r="E335" t="str">
        <f t="shared" si="28"/>
        <v>313</v>
      </c>
      <c r="F335" t="str">
        <f t="shared" si="29"/>
        <v>Potential Loyalists</v>
      </c>
      <c r="J335">
        <f t="shared" si="30"/>
        <v>3</v>
      </c>
      <c r="K335">
        <f t="shared" si="31"/>
        <v>1</v>
      </c>
      <c r="L335">
        <f t="shared" si="32"/>
        <v>3</v>
      </c>
    </row>
    <row r="336" spans="1:12" x14ac:dyDescent="0.35">
      <c r="A336">
        <v>4257</v>
      </c>
      <c r="B336" s="3">
        <f>H$6-_xlfn.MAXIFS(Table1[PurchaseDate],Table1[CustomerID],A336)</f>
        <v>15</v>
      </c>
      <c r="C336">
        <f>COUNTIF(Table1[CustomerID],A336)</f>
        <v>1</v>
      </c>
      <c r="D336" s="12">
        <f>SUMIF(Table1[CustomerID],A336,Table1[TransactionAmount])</f>
        <v>653.39</v>
      </c>
      <c r="E336" t="str">
        <f t="shared" si="28"/>
        <v>414</v>
      </c>
      <c r="F336" t="str">
        <f t="shared" si="29"/>
        <v>Potential Loyalists</v>
      </c>
      <c r="J336">
        <f t="shared" si="30"/>
        <v>4</v>
      </c>
      <c r="K336">
        <f t="shared" si="31"/>
        <v>1</v>
      </c>
      <c r="L336">
        <f t="shared" si="32"/>
        <v>4</v>
      </c>
    </row>
    <row r="337" spans="1:12" x14ac:dyDescent="0.35">
      <c r="A337">
        <v>4271</v>
      </c>
      <c r="B337" s="3">
        <f>H$6-_xlfn.MAXIFS(Table1[PurchaseDate],Table1[CustomerID],A337)</f>
        <v>54</v>
      </c>
      <c r="C337">
        <f>COUNTIF(Table1[CustomerID],A337)</f>
        <v>1</v>
      </c>
      <c r="D337" s="12">
        <f>SUMIF(Table1[CustomerID],A337,Table1[TransactionAmount])</f>
        <v>35.479999999999997</v>
      </c>
      <c r="E337" t="str">
        <f t="shared" si="28"/>
        <v>111</v>
      </c>
      <c r="F337" t="str">
        <f t="shared" si="29"/>
        <v>At Risk</v>
      </c>
      <c r="J337">
        <f t="shared" si="30"/>
        <v>1</v>
      </c>
      <c r="K337">
        <f t="shared" si="31"/>
        <v>1</v>
      </c>
      <c r="L337">
        <f t="shared" si="32"/>
        <v>1</v>
      </c>
    </row>
    <row r="338" spans="1:12" x14ac:dyDescent="0.35">
      <c r="A338">
        <v>4275</v>
      </c>
      <c r="B338" s="3">
        <f>H$6-_xlfn.MAXIFS(Table1[PurchaseDate],Table1[CustomerID],A338)</f>
        <v>43</v>
      </c>
      <c r="C338">
        <f>COUNTIF(Table1[CustomerID],A338)</f>
        <v>1</v>
      </c>
      <c r="D338" s="12">
        <f>SUMIF(Table1[CustomerID],A338,Table1[TransactionAmount])</f>
        <v>752.68</v>
      </c>
      <c r="E338" t="str">
        <f t="shared" si="28"/>
        <v>214</v>
      </c>
      <c r="F338" t="str">
        <f t="shared" si="29"/>
        <v>Needs Attention</v>
      </c>
      <c r="J338">
        <f t="shared" si="30"/>
        <v>2</v>
      </c>
      <c r="K338">
        <f t="shared" si="31"/>
        <v>1</v>
      </c>
      <c r="L338">
        <f t="shared" si="32"/>
        <v>4</v>
      </c>
    </row>
    <row r="339" spans="1:12" x14ac:dyDescent="0.35">
      <c r="A339">
        <v>4279</v>
      </c>
      <c r="B339" s="3">
        <f>H$6-_xlfn.MAXIFS(Table1[PurchaseDate],Table1[CustomerID],A339)</f>
        <v>53</v>
      </c>
      <c r="C339">
        <f>COUNTIF(Table1[CustomerID],A339)</f>
        <v>1</v>
      </c>
      <c r="D339" s="12">
        <f>SUMIF(Table1[CustomerID],A339,Table1[TransactionAmount])</f>
        <v>144.37</v>
      </c>
      <c r="E339" t="str">
        <f t="shared" si="28"/>
        <v>111</v>
      </c>
      <c r="F339" t="str">
        <f t="shared" si="29"/>
        <v>At Risk</v>
      </c>
      <c r="J339">
        <f t="shared" si="30"/>
        <v>1</v>
      </c>
      <c r="K339">
        <f t="shared" si="31"/>
        <v>1</v>
      </c>
      <c r="L339">
        <f t="shared" si="32"/>
        <v>1</v>
      </c>
    </row>
    <row r="340" spans="1:12" x14ac:dyDescent="0.35">
      <c r="A340">
        <v>4290</v>
      </c>
      <c r="B340" s="3">
        <f>H$6-_xlfn.MAXIFS(Table1[PurchaseDate],Table1[CustomerID],A340)</f>
        <v>30</v>
      </c>
      <c r="C340">
        <f>COUNTIF(Table1[CustomerID],A340)</f>
        <v>1</v>
      </c>
      <c r="D340" s="12">
        <f>SUMIF(Table1[CustomerID],A340,Table1[TransactionAmount])</f>
        <v>321.04000000000002</v>
      </c>
      <c r="E340" t="str">
        <f t="shared" si="28"/>
        <v>312</v>
      </c>
      <c r="F340" t="str">
        <f t="shared" si="29"/>
        <v>Needs Attention</v>
      </c>
      <c r="J340">
        <f t="shared" si="30"/>
        <v>3</v>
      </c>
      <c r="K340">
        <f t="shared" si="31"/>
        <v>1</v>
      </c>
      <c r="L340">
        <f t="shared" si="32"/>
        <v>2</v>
      </c>
    </row>
    <row r="341" spans="1:12" x14ac:dyDescent="0.35">
      <c r="A341">
        <v>4291</v>
      </c>
      <c r="B341" s="3">
        <f>H$6-_xlfn.MAXIFS(Table1[PurchaseDate],Table1[CustomerID],A341)</f>
        <v>47</v>
      </c>
      <c r="C341">
        <f>COUNTIF(Table1[CustomerID],A341)</f>
        <v>1</v>
      </c>
      <c r="D341" s="12">
        <f>SUMIF(Table1[CustomerID],A341,Table1[TransactionAmount])</f>
        <v>627.92999999999995</v>
      </c>
      <c r="E341" t="str">
        <f t="shared" si="28"/>
        <v>213</v>
      </c>
      <c r="F341" t="str">
        <f t="shared" si="29"/>
        <v>Needs Attention</v>
      </c>
      <c r="J341">
        <f t="shared" si="30"/>
        <v>2</v>
      </c>
      <c r="K341">
        <f t="shared" si="31"/>
        <v>1</v>
      </c>
      <c r="L341">
        <f t="shared" si="32"/>
        <v>3</v>
      </c>
    </row>
    <row r="342" spans="1:12" x14ac:dyDescent="0.35">
      <c r="A342">
        <v>4302</v>
      </c>
      <c r="B342" s="3">
        <f>H$6-_xlfn.MAXIFS(Table1[PurchaseDate],Table1[CustomerID],A342)</f>
        <v>58</v>
      </c>
      <c r="C342">
        <f>COUNTIF(Table1[CustomerID],A342)</f>
        <v>1</v>
      </c>
      <c r="D342" s="12">
        <f>SUMIF(Table1[CustomerID],A342,Table1[TransactionAmount])</f>
        <v>793.2</v>
      </c>
      <c r="E342" t="str">
        <f t="shared" si="28"/>
        <v>114</v>
      </c>
      <c r="F342" t="str">
        <f t="shared" si="29"/>
        <v>Needs Attention</v>
      </c>
      <c r="J342">
        <f t="shared" si="30"/>
        <v>1</v>
      </c>
      <c r="K342">
        <f t="shared" si="31"/>
        <v>1</v>
      </c>
      <c r="L342">
        <f t="shared" si="32"/>
        <v>4</v>
      </c>
    </row>
    <row r="343" spans="1:12" x14ac:dyDescent="0.35">
      <c r="A343">
        <v>4308</v>
      </c>
      <c r="B343" s="3">
        <f>H$6-_xlfn.MAXIFS(Table1[PurchaseDate],Table1[CustomerID],A343)</f>
        <v>8</v>
      </c>
      <c r="C343">
        <f>COUNTIF(Table1[CustomerID],A343)</f>
        <v>1</v>
      </c>
      <c r="D343" s="12">
        <f>SUMIF(Table1[CustomerID],A343,Table1[TransactionAmount])</f>
        <v>630.95000000000005</v>
      </c>
      <c r="E343" t="str">
        <f t="shared" si="28"/>
        <v>513</v>
      </c>
      <c r="F343" t="str">
        <f t="shared" si="29"/>
        <v>Potential Loyalists</v>
      </c>
      <c r="J343">
        <f t="shared" si="30"/>
        <v>5</v>
      </c>
      <c r="K343">
        <f t="shared" si="31"/>
        <v>1</v>
      </c>
      <c r="L343">
        <f t="shared" si="32"/>
        <v>3</v>
      </c>
    </row>
    <row r="344" spans="1:12" x14ac:dyDescent="0.35">
      <c r="A344">
        <v>4371</v>
      </c>
      <c r="B344" s="3">
        <f>H$6-_xlfn.MAXIFS(Table1[PurchaseDate],Table1[CustomerID],A344)</f>
        <v>43</v>
      </c>
      <c r="C344">
        <f>COUNTIF(Table1[CustomerID],A344)</f>
        <v>1</v>
      </c>
      <c r="D344" s="12">
        <f>SUMIF(Table1[CustomerID],A344,Table1[TransactionAmount])</f>
        <v>754.8</v>
      </c>
      <c r="E344" t="str">
        <f t="shared" si="28"/>
        <v>214</v>
      </c>
      <c r="F344" t="str">
        <f t="shared" si="29"/>
        <v>Needs Attention</v>
      </c>
      <c r="J344">
        <f t="shared" si="30"/>
        <v>2</v>
      </c>
      <c r="K344">
        <f t="shared" si="31"/>
        <v>1</v>
      </c>
      <c r="L344">
        <f t="shared" si="32"/>
        <v>4</v>
      </c>
    </row>
    <row r="345" spans="1:12" x14ac:dyDescent="0.35">
      <c r="A345">
        <v>4387</v>
      </c>
      <c r="B345" s="3">
        <f>H$6-_xlfn.MAXIFS(Table1[PurchaseDate],Table1[CustomerID],A345)</f>
        <v>19</v>
      </c>
      <c r="C345">
        <f>COUNTIF(Table1[CustomerID],A345)</f>
        <v>1</v>
      </c>
      <c r="D345" s="12">
        <f>SUMIF(Table1[CustomerID],A345,Table1[TransactionAmount])</f>
        <v>147.19</v>
      </c>
      <c r="E345" t="str">
        <f t="shared" si="28"/>
        <v>411</v>
      </c>
      <c r="F345" t="str">
        <f t="shared" si="29"/>
        <v>Needs Attention</v>
      </c>
      <c r="J345">
        <f t="shared" si="30"/>
        <v>4</v>
      </c>
      <c r="K345">
        <f t="shared" si="31"/>
        <v>1</v>
      </c>
      <c r="L345">
        <f t="shared" si="32"/>
        <v>1</v>
      </c>
    </row>
    <row r="346" spans="1:12" x14ac:dyDescent="0.35">
      <c r="A346">
        <v>4401</v>
      </c>
      <c r="B346" s="3">
        <f>H$6-_xlfn.MAXIFS(Table1[PurchaseDate],Table1[CustomerID],A346)</f>
        <v>32</v>
      </c>
      <c r="C346">
        <f>COUNTIF(Table1[CustomerID],A346)</f>
        <v>2</v>
      </c>
      <c r="D346" s="12">
        <f>SUMIF(Table1[CustomerID],A346,Table1[TransactionAmount])</f>
        <v>508.21000000000004</v>
      </c>
      <c r="E346" t="str">
        <f t="shared" si="28"/>
        <v>333</v>
      </c>
      <c r="F346" t="str">
        <f t="shared" si="29"/>
        <v>Loyal Customers</v>
      </c>
      <c r="J346">
        <f t="shared" si="30"/>
        <v>3</v>
      </c>
      <c r="K346">
        <f t="shared" si="31"/>
        <v>3</v>
      </c>
      <c r="L346">
        <f t="shared" si="32"/>
        <v>3</v>
      </c>
    </row>
    <row r="347" spans="1:12" x14ac:dyDescent="0.35">
      <c r="A347">
        <v>4450</v>
      </c>
      <c r="B347" s="3">
        <f>H$6-_xlfn.MAXIFS(Table1[PurchaseDate],Table1[CustomerID],A347)</f>
        <v>50</v>
      </c>
      <c r="C347">
        <f>COUNTIF(Table1[CustomerID],A347)</f>
        <v>1</v>
      </c>
      <c r="D347" s="12">
        <f>SUMIF(Table1[CustomerID],A347,Table1[TransactionAmount])</f>
        <v>403.08</v>
      </c>
      <c r="E347" t="str">
        <f t="shared" si="28"/>
        <v>112</v>
      </c>
      <c r="F347" t="str">
        <f t="shared" si="29"/>
        <v>At Risk</v>
      </c>
      <c r="J347">
        <f t="shared" si="30"/>
        <v>1</v>
      </c>
      <c r="K347">
        <f t="shared" si="31"/>
        <v>1</v>
      </c>
      <c r="L347">
        <f t="shared" si="32"/>
        <v>2</v>
      </c>
    </row>
    <row r="348" spans="1:12" x14ac:dyDescent="0.35">
      <c r="A348">
        <v>4470</v>
      </c>
      <c r="B348" s="3">
        <f>H$6-_xlfn.MAXIFS(Table1[PurchaseDate],Table1[CustomerID],A348)</f>
        <v>1</v>
      </c>
      <c r="C348">
        <f>COUNTIF(Table1[CustomerID],A348)</f>
        <v>1</v>
      </c>
      <c r="D348" s="12">
        <f>SUMIF(Table1[CustomerID],A348,Table1[TransactionAmount])</f>
        <v>198.12</v>
      </c>
      <c r="E348" t="str">
        <f t="shared" si="28"/>
        <v>511</v>
      </c>
      <c r="F348" t="str">
        <f t="shared" si="29"/>
        <v>Needs Attention</v>
      </c>
      <c r="J348">
        <f t="shared" si="30"/>
        <v>5</v>
      </c>
      <c r="K348">
        <f t="shared" si="31"/>
        <v>1</v>
      </c>
      <c r="L348">
        <f t="shared" si="32"/>
        <v>1</v>
      </c>
    </row>
    <row r="349" spans="1:12" x14ac:dyDescent="0.35">
      <c r="A349">
        <v>4475</v>
      </c>
      <c r="B349" s="3">
        <f>H$6-_xlfn.MAXIFS(Table1[PurchaseDate],Table1[CustomerID],A349)</f>
        <v>38</v>
      </c>
      <c r="C349">
        <f>COUNTIF(Table1[CustomerID],A349)</f>
        <v>1</v>
      </c>
      <c r="D349" s="12">
        <f>SUMIF(Table1[CustomerID],A349,Table1[TransactionAmount])</f>
        <v>799.85</v>
      </c>
      <c r="E349" t="str">
        <f t="shared" si="28"/>
        <v>214</v>
      </c>
      <c r="F349" t="str">
        <f t="shared" si="29"/>
        <v>Needs Attention</v>
      </c>
      <c r="J349">
        <f t="shared" si="30"/>
        <v>2</v>
      </c>
      <c r="K349">
        <f t="shared" si="31"/>
        <v>1</v>
      </c>
      <c r="L349">
        <f t="shared" si="32"/>
        <v>4</v>
      </c>
    </row>
    <row r="350" spans="1:12" x14ac:dyDescent="0.35">
      <c r="A350">
        <v>4483</v>
      </c>
      <c r="B350" s="3">
        <f>H$6-_xlfn.MAXIFS(Table1[PurchaseDate],Table1[CustomerID],A350)</f>
        <v>19</v>
      </c>
      <c r="C350">
        <f>COUNTIF(Table1[CustomerID],A350)</f>
        <v>1</v>
      </c>
      <c r="D350" s="12">
        <f>SUMIF(Table1[CustomerID],A350,Table1[TransactionAmount])</f>
        <v>504.24</v>
      </c>
      <c r="E350" t="str">
        <f t="shared" si="28"/>
        <v>413</v>
      </c>
      <c r="F350" t="str">
        <f t="shared" si="29"/>
        <v>Potential Loyalists</v>
      </c>
      <c r="J350">
        <f t="shared" si="30"/>
        <v>4</v>
      </c>
      <c r="K350">
        <f t="shared" si="31"/>
        <v>1</v>
      </c>
      <c r="L350">
        <f t="shared" si="32"/>
        <v>3</v>
      </c>
    </row>
    <row r="351" spans="1:12" x14ac:dyDescent="0.35">
      <c r="A351">
        <v>4485</v>
      </c>
      <c r="B351" s="3">
        <f>H$6-_xlfn.MAXIFS(Table1[PurchaseDate],Table1[CustomerID],A351)</f>
        <v>2</v>
      </c>
      <c r="C351">
        <f>COUNTIF(Table1[CustomerID],A351)</f>
        <v>1</v>
      </c>
      <c r="D351" s="12">
        <f>SUMIF(Table1[CustomerID],A351,Table1[TransactionAmount])</f>
        <v>46.29</v>
      </c>
      <c r="E351" t="str">
        <f t="shared" si="28"/>
        <v>511</v>
      </c>
      <c r="F351" t="str">
        <f t="shared" si="29"/>
        <v>Needs Attention</v>
      </c>
      <c r="J351">
        <f t="shared" si="30"/>
        <v>5</v>
      </c>
      <c r="K351">
        <f t="shared" si="31"/>
        <v>1</v>
      </c>
      <c r="L351">
        <f t="shared" si="32"/>
        <v>1</v>
      </c>
    </row>
    <row r="352" spans="1:12" x14ac:dyDescent="0.35">
      <c r="A352">
        <v>4510</v>
      </c>
      <c r="B352" s="3">
        <f>H$6-_xlfn.MAXIFS(Table1[PurchaseDate],Table1[CustomerID],A352)</f>
        <v>26</v>
      </c>
      <c r="C352">
        <f>COUNTIF(Table1[CustomerID],A352)</f>
        <v>1</v>
      </c>
      <c r="D352" s="12">
        <f>SUMIF(Table1[CustomerID],A352,Table1[TransactionAmount])</f>
        <v>140.99</v>
      </c>
      <c r="E352" t="str">
        <f t="shared" si="28"/>
        <v>311</v>
      </c>
      <c r="F352" t="str">
        <f t="shared" si="29"/>
        <v>Needs Attention</v>
      </c>
      <c r="J352">
        <f t="shared" si="30"/>
        <v>3</v>
      </c>
      <c r="K352">
        <f t="shared" si="31"/>
        <v>1</v>
      </c>
      <c r="L352">
        <f t="shared" si="32"/>
        <v>1</v>
      </c>
    </row>
    <row r="353" spans="1:12" x14ac:dyDescent="0.35">
      <c r="A353">
        <v>4517</v>
      </c>
      <c r="B353" s="3">
        <f>H$6-_xlfn.MAXIFS(Table1[PurchaseDate],Table1[CustomerID],A353)</f>
        <v>2</v>
      </c>
      <c r="C353">
        <f>COUNTIF(Table1[CustomerID],A353)</f>
        <v>1</v>
      </c>
      <c r="D353" s="12">
        <f>SUMIF(Table1[CustomerID],A353,Table1[TransactionAmount])</f>
        <v>195.28</v>
      </c>
      <c r="E353" t="str">
        <f t="shared" si="28"/>
        <v>511</v>
      </c>
      <c r="F353" t="str">
        <f t="shared" si="29"/>
        <v>Needs Attention</v>
      </c>
      <c r="J353">
        <f t="shared" si="30"/>
        <v>5</v>
      </c>
      <c r="K353">
        <f t="shared" si="31"/>
        <v>1</v>
      </c>
      <c r="L353">
        <f t="shared" si="32"/>
        <v>1</v>
      </c>
    </row>
    <row r="354" spans="1:12" x14ac:dyDescent="0.35">
      <c r="A354">
        <v>4522</v>
      </c>
      <c r="B354" s="3">
        <f>H$6-_xlfn.MAXIFS(Table1[PurchaseDate],Table1[CustomerID],A354)</f>
        <v>7</v>
      </c>
      <c r="C354">
        <f>COUNTIF(Table1[CustomerID],A354)</f>
        <v>1</v>
      </c>
      <c r="D354" s="12">
        <f>SUMIF(Table1[CustomerID],A354,Table1[TransactionAmount])</f>
        <v>858.01</v>
      </c>
      <c r="E354" t="str">
        <f t="shared" si="28"/>
        <v>515</v>
      </c>
      <c r="F354" t="str">
        <f t="shared" si="29"/>
        <v>Potential Loyalists</v>
      </c>
      <c r="J354">
        <f t="shared" si="30"/>
        <v>5</v>
      </c>
      <c r="K354">
        <f t="shared" si="31"/>
        <v>1</v>
      </c>
      <c r="L354">
        <f t="shared" si="32"/>
        <v>5</v>
      </c>
    </row>
    <row r="355" spans="1:12" x14ac:dyDescent="0.35">
      <c r="A355">
        <v>4532</v>
      </c>
      <c r="B355" s="3">
        <f>H$6-_xlfn.MAXIFS(Table1[PurchaseDate],Table1[CustomerID],A355)</f>
        <v>31</v>
      </c>
      <c r="C355">
        <f>COUNTIF(Table1[CustomerID],A355)</f>
        <v>1</v>
      </c>
      <c r="D355" s="12">
        <f>SUMIF(Table1[CustomerID],A355,Table1[TransactionAmount])</f>
        <v>826.31</v>
      </c>
      <c r="E355" t="str">
        <f t="shared" si="28"/>
        <v>315</v>
      </c>
      <c r="F355" t="str">
        <f t="shared" si="29"/>
        <v>Potential Loyalists</v>
      </c>
      <c r="J355">
        <f t="shared" si="30"/>
        <v>3</v>
      </c>
      <c r="K355">
        <f t="shared" si="31"/>
        <v>1</v>
      </c>
      <c r="L355">
        <f t="shared" si="32"/>
        <v>5</v>
      </c>
    </row>
    <row r="356" spans="1:12" x14ac:dyDescent="0.35">
      <c r="A356">
        <v>4533</v>
      </c>
      <c r="B356" s="3">
        <f>H$6-_xlfn.MAXIFS(Table1[PurchaseDate],Table1[CustomerID],A356)</f>
        <v>7</v>
      </c>
      <c r="C356">
        <f>COUNTIF(Table1[CustomerID],A356)</f>
        <v>1</v>
      </c>
      <c r="D356" s="12">
        <f>SUMIF(Table1[CustomerID],A356,Table1[TransactionAmount])</f>
        <v>158.02000000000001</v>
      </c>
      <c r="E356" t="str">
        <f t="shared" si="28"/>
        <v>511</v>
      </c>
      <c r="F356" t="str">
        <f t="shared" si="29"/>
        <v>Needs Attention</v>
      </c>
      <c r="J356">
        <f t="shared" si="30"/>
        <v>5</v>
      </c>
      <c r="K356">
        <f t="shared" si="31"/>
        <v>1</v>
      </c>
      <c r="L356">
        <f t="shared" si="32"/>
        <v>1</v>
      </c>
    </row>
    <row r="357" spans="1:12" x14ac:dyDescent="0.35">
      <c r="A357">
        <v>4538</v>
      </c>
      <c r="B357" s="3">
        <f>H$6-_xlfn.MAXIFS(Table1[PurchaseDate],Table1[CustomerID],A357)</f>
        <v>8</v>
      </c>
      <c r="C357">
        <f>COUNTIF(Table1[CustomerID],A357)</f>
        <v>1</v>
      </c>
      <c r="D357" s="12">
        <f>SUMIF(Table1[CustomerID],A357,Table1[TransactionAmount])</f>
        <v>871</v>
      </c>
      <c r="E357" t="str">
        <f t="shared" si="28"/>
        <v>515</v>
      </c>
      <c r="F357" t="str">
        <f t="shared" si="29"/>
        <v>Potential Loyalists</v>
      </c>
      <c r="J357">
        <f t="shared" si="30"/>
        <v>5</v>
      </c>
      <c r="K357">
        <f t="shared" si="31"/>
        <v>1</v>
      </c>
      <c r="L357">
        <f t="shared" si="32"/>
        <v>5</v>
      </c>
    </row>
    <row r="358" spans="1:12" x14ac:dyDescent="0.35">
      <c r="A358">
        <v>4555</v>
      </c>
      <c r="B358" s="3">
        <f>H$6-_xlfn.MAXIFS(Table1[PurchaseDate],Table1[CustomerID],A358)</f>
        <v>30</v>
      </c>
      <c r="C358">
        <f>COUNTIF(Table1[CustomerID],A358)</f>
        <v>1</v>
      </c>
      <c r="D358" s="12">
        <f>SUMIF(Table1[CustomerID],A358,Table1[TransactionAmount])</f>
        <v>216.8</v>
      </c>
      <c r="E358" t="str">
        <f t="shared" si="28"/>
        <v>311</v>
      </c>
      <c r="F358" t="str">
        <f t="shared" si="29"/>
        <v>Needs Attention</v>
      </c>
      <c r="J358">
        <f t="shared" si="30"/>
        <v>3</v>
      </c>
      <c r="K358">
        <f t="shared" si="31"/>
        <v>1</v>
      </c>
      <c r="L358">
        <f t="shared" si="32"/>
        <v>1</v>
      </c>
    </row>
    <row r="359" spans="1:12" x14ac:dyDescent="0.35">
      <c r="A359">
        <v>4559</v>
      </c>
      <c r="B359" s="3">
        <f>H$6-_xlfn.MAXIFS(Table1[PurchaseDate],Table1[CustomerID],A359)</f>
        <v>55</v>
      </c>
      <c r="C359">
        <f>COUNTIF(Table1[CustomerID],A359)</f>
        <v>1</v>
      </c>
      <c r="D359" s="12">
        <f>SUMIF(Table1[CustomerID],A359,Table1[TransactionAmount])</f>
        <v>897.63</v>
      </c>
      <c r="E359" t="str">
        <f t="shared" si="28"/>
        <v>115</v>
      </c>
      <c r="F359" t="str">
        <f t="shared" si="29"/>
        <v>Needs Attention</v>
      </c>
      <c r="J359">
        <f t="shared" si="30"/>
        <v>1</v>
      </c>
      <c r="K359">
        <f t="shared" si="31"/>
        <v>1</v>
      </c>
      <c r="L359">
        <f t="shared" si="32"/>
        <v>5</v>
      </c>
    </row>
    <row r="360" spans="1:12" x14ac:dyDescent="0.35">
      <c r="A360">
        <v>4562</v>
      </c>
      <c r="B360" s="3">
        <f>H$6-_xlfn.MAXIFS(Table1[PurchaseDate],Table1[CustomerID],A360)</f>
        <v>14</v>
      </c>
      <c r="C360">
        <f>COUNTIF(Table1[CustomerID],A360)</f>
        <v>1</v>
      </c>
      <c r="D360" s="12">
        <f>SUMIF(Table1[CustomerID],A360,Table1[TransactionAmount])</f>
        <v>86.43</v>
      </c>
      <c r="E360" t="str">
        <f t="shared" si="28"/>
        <v>411</v>
      </c>
      <c r="F360" t="str">
        <f t="shared" si="29"/>
        <v>Needs Attention</v>
      </c>
      <c r="J360">
        <f t="shared" si="30"/>
        <v>4</v>
      </c>
      <c r="K360">
        <f t="shared" si="31"/>
        <v>1</v>
      </c>
      <c r="L360">
        <f t="shared" si="32"/>
        <v>1</v>
      </c>
    </row>
    <row r="361" spans="1:12" x14ac:dyDescent="0.35">
      <c r="A361">
        <v>4568</v>
      </c>
      <c r="B361" s="3">
        <f>H$6-_xlfn.MAXIFS(Table1[PurchaseDate],Table1[CustomerID],A361)</f>
        <v>53</v>
      </c>
      <c r="C361">
        <f>COUNTIF(Table1[CustomerID],A361)</f>
        <v>1</v>
      </c>
      <c r="D361" s="12">
        <f>SUMIF(Table1[CustomerID],A361,Table1[TransactionAmount])</f>
        <v>243.61</v>
      </c>
      <c r="E361" t="str">
        <f t="shared" si="28"/>
        <v>112</v>
      </c>
      <c r="F361" t="str">
        <f t="shared" si="29"/>
        <v>At Risk</v>
      </c>
      <c r="J361">
        <f t="shared" si="30"/>
        <v>1</v>
      </c>
      <c r="K361">
        <f t="shared" si="31"/>
        <v>1</v>
      </c>
      <c r="L361">
        <f t="shared" si="32"/>
        <v>2</v>
      </c>
    </row>
    <row r="362" spans="1:12" x14ac:dyDescent="0.35">
      <c r="A362">
        <v>4575</v>
      </c>
      <c r="B362" s="3">
        <f>H$6-_xlfn.MAXIFS(Table1[PurchaseDate],Table1[CustomerID],A362)</f>
        <v>31</v>
      </c>
      <c r="C362">
        <f>COUNTIF(Table1[CustomerID],A362)</f>
        <v>1</v>
      </c>
      <c r="D362" s="12">
        <f>SUMIF(Table1[CustomerID],A362,Table1[TransactionAmount])</f>
        <v>309.12</v>
      </c>
      <c r="E362" t="str">
        <f t="shared" si="28"/>
        <v>312</v>
      </c>
      <c r="F362" t="str">
        <f t="shared" si="29"/>
        <v>Needs Attention</v>
      </c>
      <c r="J362">
        <f t="shared" si="30"/>
        <v>3</v>
      </c>
      <c r="K362">
        <f t="shared" si="31"/>
        <v>1</v>
      </c>
      <c r="L362">
        <f t="shared" si="32"/>
        <v>2</v>
      </c>
    </row>
    <row r="363" spans="1:12" x14ac:dyDescent="0.35">
      <c r="A363">
        <v>4585</v>
      </c>
      <c r="B363" s="3">
        <f>H$6-_xlfn.MAXIFS(Table1[PurchaseDate],Table1[CustomerID],A363)</f>
        <v>49</v>
      </c>
      <c r="C363">
        <f>COUNTIF(Table1[CustomerID],A363)</f>
        <v>1</v>
      </c>
      <c r="D363" s="12">
        <f>SUMIF(Table1[CustomerID],A363,Table1[TransactionAmount])</f>
        <v>806.07</v>
      </c>
      <c r="E363" t="str">
        <f t="shared" si="28"/>
        <v>114</v>
      </c>
      <c r="F363" t="str">
        <f t="shared" si="29"/>
        <v>Needs Attention</v>
      </c>
      <c r="J363">
        <f t="shared" si="30"/>
        <v>1</v>
      </c>
      <c r="K363">
        <f t="shared" si="31"/>
        <v>1</v>
      </c>
      <c r="L363">
        <f t="shared" si="32"/>
        <v>4</v>
      </c>
    </row>
    <row r="364" spans="1:12" x14ac:dyDescent="0.35">
      <c r="A364">
        <v>4598</v>
      </c>
      <c r="B364" s="3">
        <f>H$6-_xlfn.MAXIFS(Table1[PurchaseDate],Table1[CustomerID],A364)</f>
        <v>17</v>
      </c>
      <c r="C364">
        <f>COUNTIF(Table1[CustomerID],A364)</f>
        <v>1</v>
      </c>
      <c r="D364" s="12">
        <f>SUMIF(Table1[CustomerID],A364,Table1[TransactionAmount])</f>
        <v>331.04</v>
      </c>
      <c r="E364" t="str">
        <f t="shared" si="28"/>
        <v>412</v>
      </c>
      <c r="F364" t="str">
        <f t="shared" si="29"/>
        <v>Needs Attention</v>
      </c>
      <c r="J364">
        <f t="shared" si="30"/>
        <v>4</v>
      </c>
      <c r="K364">
        <f t="shared" si="31"/>
        <v>1</v>
      </c>
      <c r="L364">
        <f t="shared" si="32"/>
        <v>2</v>
      </c>
    </row>
    <row r="365" spans="1:12" x14ac:dyDescent="0.35">
      <c r="A365">
        <v>4608</v>
      </c>
      <c r="B365" s="3">
        <f>H$6-_xlfn.MAXIFS(Table1[PurchaseDate],Table1[CustomerID],A365)</f>
        <v>60</v>
      </c>
      <c r="C365">
        <f>COUNTIF(Table1[CustomerID],A365)</f>
        <v>1</v>
      </c>
      <c r="D365" s="12">
        <f>SUMIF(Table1[CustomerID],A365,Table1[TransactionAmount])</f>
        <v>80.28</v>
      </c>
      <c r="E365" t="str">
        <f t="shared" si="28"/>
        <v>111</v>
      </c>
      <c r="F365" t="str">
        <f t="shared" si="29"/>
        <v>At Risk</v>
      </c>
      <c r="J365">
        <f t="shared" si="30"/>
        <v>1</v>
      </c>
      <c r="K365">
        <f t="shared" si="31"/>
        <v>1</v>
      </c>
      <c r="L365">
        <f t="shared" si="32"/>
        <v>1</v>
      </c>
    </row>
    <row r="366" spans="1:12" x14ac:dyDescent="0.35">
      <c r="A366">
        <v>4614</v>
      </c>
      <c r="B366" s="3">
        <f>H$6-_xlfn.MAXIFS(Table1[PurchaseDate],Table1[CustomerID],A366)</f>
        <v>44</v>
      </c>
      <c r="C366">
        <f>COUNTIF(Table1[CustomerID],A366)</f>
        <v>1</v>
      </c>
      <c r="D366" s="12">
        <f>SUMIF(Table1[CustomerID],A366,Table1[TransactionAmount])</f>
        <v>88.42</v>
      </c>
      <c r="E366" t="str">
        <f t="shared" si="28"/>
        <v>211</v>
      </c>
      <c r="F366" t="str">
        <f t="shared" si="29"/>
        <v>At Risk</v>
      </c>
      <c r="J366">
        <f t="shared" si="30"/>
        <v>2</v>
      </c>
      <c r="K366">
        <f t="shared" si="31"/>
        <v>1</v>
      </c>
      <c r="L366">
        <f t="shared" si="32"/>
        <v>1</v>
      </c>
    </row>
    <row r="367" spans="1:12" x14ac:dyDescent="0.35">
      <c r="A367">
        <v>4616</v>
      </c>
      <c r="B367" s="3">
        <f>H$6-_xlfn.MAXIFS(Table1[PurchaseDate],Table1[CustomerID],A367)</f>
        <v>22</v>
      </c>
      <c r="C367">
        <f>COUNTIF(Table1[CustomerID],A367)</f>
        <v>1</v>
      </c>
      <c r="D367" s="12">
        <f>SUMIF(Table1[CustomerID],A367,Table1[TransactionAmount])</f>
        <v>720.67</v>
      </c>
      <c r="E367" t="str">
        <f t="shared" si="28"/>
        <v>414</v>
      </c>
      <c r="F367" t="str">
        <f t="shared" si="29"/>
        <v>Potential Loyalists</v>
      </c>
      <c r="J367">
        <f t="shared" si="30"/>
        <v>4</v>
      </c>
      <c r="K367">
        <f t="shared" si="31"/>
        <v>1</v>
      </c>
      <c r="L367">
        <f t="shared" si="32"/>
        <v>4</v>
      </c>
    </row>
    <row r="368" spans="1:12" x14ac:dyDescent="0.35">
      <c r="A368">
        <v>4617</v>
      </c>
      <c r="B368" s="3">
        <f>H$6-_xlfn.MAXIFS(Table1[PurchaseDate],Table1[CustomerID],A368)</f>
        <v>21</v>
      </c>
      <c r="C368">
        <f>COUNTIF(Table1[CustomerID],A368)</f>
        <v>1</v>
      </c>
      <c r="D368" s="12">
        <f>SUMIF(Table1[CustomerID],A368,Table1[TransactionAmount])</f>
        <v>836.4</v>
      </c>
      <c r="E368" t="str">
        <f t="shared" si="28"/>
        <v>415</v>
      </c>
      <c r="F368" t="str">
        <f t="shared" si="29"/>
        <v>Potential Loyalists</v>
      </c>
      <c r="J368">
        <f t="shared" si="30"/>
        <v>4</v>
      </c>
      <c r="K368">
        <f t="shared" si="31"/>
        <v>1</v>
      </c>
      <c r="L368">
        <f t="shared" si="32"/>
        <v>5</v>
      </c>
    </row>
    <row r="369" spans="1:12" x14ac:dyDescent="0.35">
      <c r="A369">
        <v>4624</v>
      </c>
      <c r="B369" s="3">
        <f>H$6-_xlfn.MAXIFS(Table1[PurchaseDate],Table1[CustomerID],A369)</f>
        <v>4</v>
      </c>
      <c r="C369">
        <f>COUNTIF(Table1[CustomerID],A369)</f>
        <v>1</v>
      </c>
      <c r="D369" s="12">
        <f>SUMIF(Table1[CustomerID],A369,Table1[TransactionAmount])</f>
        <v>221.22</v>
      </c>
      <c r="E369" t="str">
        <f t="shared" si="28"/>
        <v>512</v>
      </c>
      <c r="F369" t="str">
        <f t="shared" si="29"/>
        <v>Needs Attention</v>
      </c>
      <c r="J369">
        <f t="shared" si="30"/>
        <v>5</v>
      </c>
      <c r="K369">
        <f t="shared" si="31"/>
        <v>1</v>
      </c>
      <c r="L369">
        <f t="shared" si="32"/>
        <v>2</v>
      </c>
    </row>
    <row r="370" spans="1:12" x14ac:dyDescent="0.35">
      <c r="A370">
        <v>4626</v>
      </c>
      <c r="B370" s="3">
        <f>H$6-_xlfn.MAXIFS(Table1[PurchaseDate],Table1[CustomerID],A370)</f>
        <v>19</v>
      </c>
      <c r="C370">
        <f>COUNTIF(Table1[CustomerID],A370)</f>
        <v>1</v>
      </c>
      <c r="D370" s="12">
        <f>SUMIF(Table1[CustomerID],A370,Table1[TransactionAmount])</f>
        <v>232.86</v>
      </c>
      <c r="E370" t="str">
        <f t="shared" si="28"/>
        <v>412</v>
      </c>
      <c r="F370" t="str">
        <f t="shared" si="29"/>
        <v>Needs Attention</v>
      </c>
      <c r="J370">
        <f t="shared" si="30"/>
        <v>4</v>
      </c>
      <c r="K370">
        <f t="shared" si="31"/>
        <v>1</v>
      </c>
      <c r="L370">
        <f t="shared" si="32"/>
        <v>2</v>
      </c>
    </row>
    <row r="371" spans="1:12" x14ac:dyDescent="0.35">
      <c r="A371">
        <v>4630</v>
      </c>
      <c r="B371" s="3">
        <f>H$6-_xlfn.MAXIFS(Table1[PurchaseDate],Table1[CustomerID],A371)</f>
        <v>39</v>
      </c>
      <c r="C371">
        <f>COUNTIF(Table1[CustomerID],A371)</f>
        <v>1</v>
      </c>
      <c r="D371" s="12">
        <f>SUMIF(Table1[CustomerID],A371,Table1[TransactionAmount])</f>
        <v>781.33</v>
      </c>
      <c r="E371" t="str">
        <f t="shared" si="28"/>
        <v>214</v>
      </c>
      <c r="F371" t="str">
        <f t="shared" si="29"/>
        <v>Needs Attention</v>
      </c>
      <c r="J371">
        <f t="shared" si="30"/>
        <v>2</v>
      </c>
      <c r="K371">
        <f t="shared" si="31"/>
        <v>1</v>
      </c>
      <c r="L371">
        <f t="shared" si="32"/>
        <v>4</v>
      </c>
    </row>
    <row r="372" spans="1:12" x14ac:dyDescent="0.35">
      <c r="A372">
        <v>4637</v>
      </c>
      <c r="B372" s="3">
        <f>H$6-_xlfn.MAXIFS(Table1[PurchaseDate],Table1[CustomerID],A372)</f>
        <v>28</v>
      </c>
      <c r="C372">
        <f>COUNTIF(Table1[CustomerID],A372)</f>
        <v>1</v>
      </c>
      <c r="D372" s="12">
        <f>SUMIF(Table1[CustomerID],A372,Table1[TransactionAmount])</f>
        <v>749.38</v>
      </c>
      <c r="E372" t="str">
        <f t="shared" si="28"/>
        <v>314</v>
      </c>
      <c r="F372" t="str">
        <f t="shared" si="29"/>
        <v>Potential Loyalists</v>
      </c>
      <c r="J372">
        <f t="shared" si="30"/>
        <v>3</v>
      </c>
      <c r="K372">
        <f t="shared" si="31"/>
        <v>1</v>
      </c>
      <c r="L372">
        <f t="shared" si="32"/>
        <v>4</v>
      </c>
    </row>
    <row r="373" spans="1:12" x14ac:dyDescent="0.35">
      <c r="A373">
        <v>4646</v>
      </c>
      <c r="B373" s="3">
        <f>H$6-_xlfn.MAXIFS(Table1[PurchaseDate],Table1[CustomerID],A373)</f>
        <v>13</v>
      </c>
      <c r="C373">
        <f>COUNTIF(Table1[CustomerID],A373)</f>
        <v>1</v>
      </c>
      <c r="D373" s="12">
        <f>SUMIF(Table1[CustomerID],A373,Table1[TransactionAmount])</f>
        <v>674.63</v>
      </c>
      <c r="E373" t="str">
        <f t="shared" si="28"/>
        <v>414</v>
      </c>
      <c r="F373" t="str">
        <f t="shared" si="29"/>
        <v>Potential Loyalists</v>
      </c>
      <c r="J373">
        <f t="shared" si="30"/>
        <v>4</v>
      </c>
      <c r="K373">
        <f t="shared" si="31"/>
        <v>1</v>
      </c>
      <c r="L373">
        <f t="shared" si="32"/>
        <v>4</v>
      </c>
    </row>
    <row r="374" spans="1:12" x14ac:dyDescent="0.35">
      <c r="A374">
        <v>4675</v>
      </c>
      <c r="B374" s="3">
        <f>H$6-_xlfn.MAXIFS(Table1[PurchaseDate],Table1[CustomerID],A374)</f>
        <v>14</v>
      </c>
      <c r="C374">
        <f>COUNTIF(Table1[CustomerID],A374)</f>
        <v>1</v>
      </c>
      <c r="D374" s="12">
        <f>SUMIF(Table1[CustomerID],A374,Table1[TransactionAmount])</f>
        <v>985.03</v>
      </c>
      <c r="E374" t="str">
        <f t="shared" si="28"/>
        <v>415</v>
      </c>
      <c r="F374" t="str">
        <f t="shared" si="29"/>
        <v>Potential Loyalists</v>
      </c>
      <c r="J374">
        <f t="shared" si="30"/>
        <v>4</v>
      </c>
      <c r="K374">
        <f t="shared" si="31"/>
        <v>1</v>
      </c>
      <c r="L374">
        <f t="shared" si="32"/>
        <v>5</v>
      </c>
    </row>
    <row r="375" spans="1:12" x14ac:dyDescent="0.35">
      <c r="A375">
        <v>4683</v>
      </c>
      <c r="B375" s="3">
        <f>H$6-_xlfn.MAXIFS(Table1[PurchaseDate],Table1[CustomerID],A375)</f>
        <v>26</v>
      </c>
      <c r="C375">
        <f>COUNTIF(Table1[CustomerID],A375)</f>
        <v>1</v>
      </c>
      <c r="D375" s="12">
        <f>SUMIF(Table1[CustomerID],A375,Table1[TransactionAmount])</f>
        <v>295.77999999999997</v>
      </c>
      <c r="E375" t="str">
        <f t="shared" si="28"/>
        <v>312</v>
      </c>
      <c r="F375" t="str">
        <f t="shared" si="29"/>
        <v>Needs Attention</v>
      </c>
      <c r="J375">
        <f t="shared" si="30"/>
        <v>3</v>
      </c>
      <c r="K375">
        <f t="shared" si="31"/>
        <v>1</v>
      </c>
      <c r="L375">
        <f t="shared" si="32"/>
        <v>2</v>
      </c>
    </row>
    <row r="376" spans="1:12" x14ac:dyDescent="0.35">
      <c r="A376">
        <v>4695</v>
      </c>
      <c r="B376" s="3">
        <f>H$6-_xlfn.MAXIFS(Table1[PurchaseDate],Table1[CustomerID],A376)</f>
        <v>50</v>
      </c>
      <c r="C376">
        <f>COUNTIF(Table1[CustomerID],A376)</f>
        <v>2</v>
      </c>
      <c r="D376" s="12">
        <f>SUMIF(Table1[CustomerID],A376,Table1[TransactionAmount])</f>
        <v>805.14</v>
      </c>
      <c r="E376" t="str">
        <f t="shared" si="28"/>
        <v>134</v>
      </c>
      <c r="F376" t="str">
        <f t="shared" si="29"/>
        <v>Needs Attention</v>
      </c>
      <c r="J376">
        <f t="shared" si="30"/>
        <v>1</v>
      </c>
      <c r="K376">
        <f t="shared" si="31"/>
        <v>3</v>
      </c>
      <c r="L376">
        <f t="shared" si="32"/>
        <v>4</v>
      </c>
    </row>
    <row r="377" spans="1:12" x14ac:dyDescent="0.35">
      <c r="A377">
        <v>4700</v>
      </c>
      <c r="B377" s="3">
        <f>H$6-_xlfn.MAXIFS(Table1[PurchaseDate],Table1[CustomerID],A377)</f>
        <v>41</v>
      </c>
      <c r="C377">
        <f>COUNTIF(Table1[CustomerID],A377)</f>
        <v>1</v>
      </c>
      <c r="D377" s="12">
        <f>SUMIF(Table1[CustomerID],A377,Table1[TransactionAmount])</f>
        <v>687.2</v>
      </c>
      <c r="E377" t="str">
        <f t="shared" si="28"/>
        <v>214</v>
      </c>
      <c r="F377" t="str">
        <f t="shared" si="29"/>
        <v>Needs Attention</v>
      </c>
      <c r="J377">
        <f t="shared" si="30"/>
        <v>2</v>
      </c>
      <c r="K377">
        <f t="shared" si="31"/>
        <v>1</v>
      </c>
      <c r="L377">
        <f t="shared" si="32"/>
        <v>4</v>
      </c>
    </row>
    <row r="378" spans="1:12" x14ac:dyDescent="0.35">
      <c r="A378">
        <v>4714</v>
      </c>
      <c r="B378" s="3">
        <f>H$6-_xlfn.MAXIFS(Table1[PurchaseDate],Table1[CustomerID],A378)</f>
        <v>13</v>
      </c>
      <c r="C378">
        <f>COUNTIF(Table1[CustomerID],A378)</f>
        <v>1</v>
      </c>
      <c r="D378" s="12">
        <f>SUMIF(Table1[CustomerID],A378,Table1[TransactionAmount])</f>
        <v>656.25</v>
      </c>
      <c r="E378" t="str">
        <f t="shared" si="28"/>
        <v>414</v>
      </c>
      <c r="F378" t="str">
        <f t="shared" si="29"/>
        <v>Potential Loyalists</v>
      </c>
      <c r="J378">
        <f t="shared" si="30"/>
        <v>4</v>
      </c>
      <c r="K378">
        <f t="shared" si="31"/>
        <v>1</v>
      </c>
      <c r="L378">
        <f t="shared" si="32"/>
        <v>4</v>
      </c>
    </row>
    <row r="379" spans="1:12" x14ac:dyDescent="0.35">
      <c r="A379">
        <v>4727</v>
      </c>
      <c r="B379" s="3">
        <f>H$6-_xlfn.MAXIFS(Table1[PurchaseDate],Table1[CustomerID],A379)</f>
        <v>13</v>
      </c>
      <c r="C379">
        <f>COUNTIF(Table1[CustomerID],A379)</f>
        <v>1</v>
      </c>
      <c r="D379" s="12">
        <f>SUMIF(Table1[CustomerID],A379,Table1[TransactionAmount])</f>
        <v>99.48</v>
      </c>
      <c r="E379" t="str">
        <f t="shared" si="28"/>
        <v>411</v>
      </c>
      <c r="F379" t="str">
        <f t="shared" si="29"/>
        <v>Needs Attention</v>
      </c>
      <c r="J379">
        <f t="shared" si="30"/>
        <v>4</v>
      </c>
      <c r="K379">
        <f t="shared" si="31"/>
        <v>1</v>
      </c>
      <c r="L379">
        <f t="shared" si="32"/>
        <v>1</v>
      </c>
    </row>
    <row r="380" spans="1:12" x14ac:dyDescent="0.35">
      <c r="A380">
        <v>4728</v>
      </c>
      <c r="B380" s="3">
        <f>H$6-_xlfn.MAXIFS(Table1[PurchaseDate],Table1[CustomerID],A380)</f>
        <v>46</v>
      </c>
      <c r="C380">
        <f>COUNTIF(Table1[CustomerID],A380)</f>
        <v>1</v>
      </c>
      <c r="D380" s="12">
        <f>SUMIF(Table1[CustomerID],A380,Table1[TransactionAmount])</f>
        <v>33.43</v>
      </c>
      <c r="E380" t="str">
        <f t="shared" si="28"/>
        <v>211</v>
      </c>
      <c r="F380" t="str">
        <f t="shared" si="29"/>
        <v>At Risk</v>
      </c>
      <c r="J380">
        <f t="shared" si="30"/>
        <v>2</v>
      </c>
      <c r="K380">
        <f t="shared" si="31"/>
        <v>1</v>
      </c>
      <c r="L380">
        <f t="shared" si="32"/>
        <v>1</v>
      </c>
    </row>
    <row r="381" spans="1:12" x14ac:dyDescent="0.35">
      <c r="A381">
        <v>4729</v>
      </c>
      <c r="B381" s="3">
        <f>H$6-_xlfn.MAXIFS(Table1[PurchaseDate],Table1[CustomerID],A381)</f>
        <v>2</v>
      </c>
      <c r="C381">
        <f>COUNTIF(Table1[CustomerID],A381)</f>
        <v>1</v>
      </c>
      <c r="D381" s="12">
        <f>SUMIF(Table1[CustomerID],A381,Table1[TransactionAmount])</f>
        <v>266.06</v>
      </c>
      <c r="E381" t="str">
        <f t="shared" si="28"/>
        <v>512</v>
      </c>
      <c r="F381" t="str">
        <f t="shared" si="29"/>
        <v>Needs Attention</v>
      </c>
      <c r="J381">
        <f t="shared" si="30"/>
        <v>5</v>
      </c>
      <c r="K381">
        <f t="shared" si="31"/>
        <v>1</v>
      </c>
      <c r="L381">
        <f t="shared" si="32"/>
        <v>2</v>
      </c>
    </row>
    <row r="382" spans="1:12" x14ac:dyDescent="0.35">
      <c r="A382">
        <v>4743</v>
      </c>
      <c r="B382" s="3">
        <f>H$6-_xlfn.MAXIFS(Table1[PurchaseDate],Table1[CustomerID],A382)</f>
        <v>34</v>
      </c>
      <c r="C382">
        <f>COUNTIF(Table1[CustomerID],A382)</f>
        <v>1</v>
      </c>
      <c r="D382" s="12">
        <f>SUMIF(Table1[CustomerID],A382,Table1[TransactionAmount])</f>
        <v>345.54</v>
      </c>
      <c r="E382" t="str">
        <f t="shared" si="28"/>
        <v>312</v>
      </c>
      <c r="F382" t="str">
        <f t="shared" si="29"/>
        <v>Needs Attention</v>
      </c>
      <c r="J382">
        <f t="shared" si="30"/>
        <v>3</v>
      </c>
      <c r="K382">
        <f t="shared" si="31"/>
        <v>1</v>
      </c>
      <c r="L382">
        <f t="shared" si="32"/>
        <v>2</v>
      </c>
    </row>
    <row r="383" spans="1:12" x14ac:dyDescent="0.35">
      <c r="A383">
        <v>4750</v>
      </c>
      <c r="B383" s="3">
        <f>H$6-_xlfn.MAXIFS(Table1[PurchaseDate],Table1[CustomerID],A383)</f>
        <v>17</v>
      </c>
      <c r="C383">
        <f>COUNTIF(Table1[CustomerID],A383)</f>
        <v>1</v>
      </c>
      <c r="D383" s="12">
        <f>SUMIF(Table1[CustomerID],A383,Table1[TransactionAmount])</f>
        <v>837.6</v>
      </c>
      <c r="E383" t="str">
        <f t="shared" si="28"/>
        <v>415</v>
      </c>
      <c r="F383" t="str">
        <f t="shared" si="29"/>
        <v>Potential Loyalists</v>
      </c>
      <c r="J383">
        <f t="shared" si="30"/>
        <v>4</v>
      </c>
      <c r="K383">
        <f t="shared" si="31"/>
        <v>1</v>
      </c>
      <c r="L383">
        <f t="shared" si="32"/>
        <v>5</v>
      </c>
    </row>
    <row r="384" spans="1:12" x14ac:dyDescent="0.35">
      <c r="A384">
        <v>4751</v>
      </c>
      <c r="B384" s="3">
        <f>H$6-_xlfn.MAXIFS(Table1[PurchaseDate],Table1[CustomerID],A384)</f>
        <v>36</v>
      </c>
      <c r="C384">
        <f>COUNTIF(Table1[CustomerID],A384)</f>
        <v>1</v>
      </c>
      <c r="D384" s="12">
        <f>SUMIF(Table1[CustomerID],A384,Table1[TransactionAmount])</f>
        <v>98.44</v>
      </c>
      <c r="E384" t="str">
        <f t="shared" si="28"/>
        <v>311</v>
      </c>
      <c r="F384" t="str">
        <f t="shared" si="29"/>
        <v>Needs Attention</v>
      </c>
      <c r="J384">
        <f t="shared" si="30"/>
        <v>3</v>
      </c>
      <c r="K384">
        <f t="shared" si="31"/>
        <v>1</v>
      </c>
      <c r="L384">
        <f t="shared" si="32"/>
        <v>1</v>
      </c>
    </row>
    <row r="385" spans="1:12" x14ac:dyDescent="0.35">
      <c r="A385">
        <v>4755</v>
      </c>
      <c r="B385" s="3">
        <f>H$6-_xlfn.MAXIFS(Table1[PurchaseDate],Table1[CustomerID],A385)</f>
        <v>48</v>
      </c>
      <c r="C385">
        <f>COUNTIF(Table1[CustomerID],A385)</f>
        <v>1</v>
      </c>
      <c r="D385" s="12">
        <f>SUMIF(Table1[CustomerID],A385,Table1[TransactionAmount])</f>
        <v>836.59</v>
      </c>
      <c r="E385" t="str">
        <f t="shared" si="28"/>
        <v>115</v>
      </c>
      <c r="F385" t="str">
        <f t="shared" si="29"/>
        <v>Needs Attention</v>
      </c>
      <c r="J385">
        <f t="shared" si="30"/>
        <v>1</v>
      </c>
      <c r="K385">
        <f t="shared" si="31"/>
        <v>1</v>
      </c>
      <c r="L385">
        <f t="shared" si="32"/>
        <v>5</v>
      </c>
    </row>
    <row r="386" spans="1:12" x14ac:dyDescent="0.35">
      <c r="A386">
        <v>4759</v>
      </c>
      <c r="B386" s="3">
        <f>H$6-_xlfn.MAXIFS(Table1[PurchaseDate],Table1[CustomerID],A386)</f>
        <v>0</v>
      </c>
      <c r="C386">
        <f>COUNTIF(Table1[CustomerID],A386)</f>
        <v>1</v>
      </c>
      <c r="D386" s="12">
        <f>SUMIF(Table1[CustomerID],A386,Table1[TransactionAmount])</f>
        <v>804.28</v>
      </c>
      <c r="E386" t="str">
        <f t="shared" si="28"/>
        <v>514</v>
      </c>
      <c r="F386" t="str">
        <f t="shared" si="29"/>
        <v>Potential Loyalists</v>
      </c>
      <c r="J386">
        <f t="shared" si="30"/>
        <v>5</v>
      </c>
      <c r="K386">
        <f t="shared" si="31"/>
        <v>1</v>
      </c>
      <c r="L386">
        <f t="shared" si="32"/>
        <v>4</v>
      </c>
    </row>
    <row r="387" spans="1:12" x14ac:dyDescent="0.35">
      <c r="A387">
        <v>4762</v>
      </c>
      <c r="B387" s="3">
        <f>H$6-_xlfn.MAXIFS(Table1[PurchaseDate],Table1[CustomerID],A387)</f>
        <v>45</v>
      </c>
      <c r="C387">
        <f>COUNTIF(Table1[CustomerID],A387)</f>
        <v>1</v>
      </c>
      <c r="D387" s="12">
        <f>SUMIF(Table1[CustomerID],A387,Table1[TransactionAmount])</f>
        <v>466.02</v>
      </c>
      <c r="E387" t="str">
        <f t="shared" si="28"/>
        <v>213</v>
      </c>
      <c r="F387" t="str">
        <f t="shared" si="29"/>
        <v>Needs Attention</v>
      </c>
      <c r="J387">
        <f t="shared" si="30"/>
        <v>2</v>
      </c>
      <c r="K387">
        <f t="shared" si="31"/>
        <v>1</v>
      </c>
      <c r="L387">
        <f t="shared" si="32"/>
        <v>3</v>
      </c>
    </row>
    <row r="388" spans="1:12" x14ac:dyDescent="0.35">
      <c r="A388">
        <v>4765</v>
      </c>
      <c r="B388" s="3">
        <f>H$6-_xlfn.MAXIFS(Table1[PurchaseDate],Table1[CustomerID],A388)</f>
        <v>36</v>
      </c>
      <c r="C388">
        <f>COUNTIF(Table1[CustomerID],A388)</f>
        <v>1</v>
      </c>
      <c r="D388" s="12">
        <f>SUMIF(Table1[CustomerID],A388,Table1[TransactionAmount])</f>
        <v>391.61</v>
      </c>
      <c r="E388" t="str">
        <f t="shared" ref="E388:E451" si="33">J388&amp;K388&amp;L388</f>
        <v>312</v>
      </c>
      <c r="F388" t="str">
        <f t="shared" ref="F388:F451" si="34">IF(AND(J388&gt;=4,K388&gt;=3,L388&gt;=4),"Champions",IF(AND(J388&gt;=3,K388&gt;=2,L388&gt;=3),"Loyal Customers",IF(AND(J388&gt;=3,L388&gt;=3),"Potential Loyalists",IF(AND(J388&lt;=2,L388&lt;=2),"At Risk","Needs Attention"))))</f>
        <v>Needs Attention</v>
      </c>
      <c r="J388">
        <f t="shared" ref="J388:J451" si="35">ROUNDUP((COUNT($B$3:$B$948)-_xlfn.RANK.EQ(B388,$B$3:$B$948,1)+1)/COUNT($B$3:$B$948)*5,0)</f>
        <v>3</v>
      </c>
      <c r="K388">
        <f t="shared" ref="K388:K451" si="36">IF(C388=1,1,IF(C388=2,3,IF(C388=3,4,5)))</f>
        <v>1</v>
      </c>
      <c r="L388">
        <f t="shared" ref="L388:L451" si="37">IF(D388&gt;=_xlfn.PERCENTILE.INC($D$3:$D$948,0.8),5,IF(D388&gt;=_xlfn.PERCENTILE.INC($D$3:$D$948,0.6),4,IF(D388&gt;=_xlfn.PERCENTILE.INC($D$3:$D$948,0.4),3,IF(D388&gt;=_xlfn.PERCENTILE.INC($D$3:$D$948,0.2),2,1))))</f>
        <v>2</v>
      </c>
    </row>
    <row r="389" spans="1:12" x14ac:dyDescent="0.35">
      <c r="A389">
        <v>4770</v>
      </c>
      <c r="B389" s="3">
        <f>H$6-_xlfn.MAXIFS(Table1[PurchaseDate],Table1[CustomerID],A389)</f>
        <v>22</v>
      </c>
      <c r="C389">
        <f>COUNTIF(Table1[CustomerID],A389)</f>
        <v>1</v>
      </c>
      <c r="D389" s="12">
        <f>SUMIF(Table1[CustomerID],A389,Table1[TransactionAmount])</f>
        <v>803.91</v>
      </c>
      <c r="E389" t="str">
        <f t="shared" si="33"/>
        <v>414</v>
      </c>
      <c r="F389" t="str">
        <f t="shared" si="34"/>
        <v>Potential Loyalists</v>
      </c>
      <c r="J389">
        <f t="shared" si="35"/>
        <v>4</v>
      </c>
      <c r="K389">
        <f t="shared" si="36"/>
        <v>1</v>
      </c>
      <c r="L389">
        <f t="shared" si="37"/>
        <v>4</v>
      </c>
    </row>
    <row r="390" spans="1:12" x14ac:dyDescent="0.35">
      <c r="A390">
        <v>4788</v>
      </c>
      <c r="B390" s="3">
        <f>H$6-_xlfn.MAXIFS(Table1[PurchaseDate],Table1[CustomerID],A390)</f>
        <v>10</v>
      </c>
      <c r="C390">
        <f>COUNTIF(Table1[CustomerID],A390)</f>
        <v>2</v>
      </c>
      <c r="D390" s="12">
        <f>SUMIF(Table1[CustomerID],A390,Table1[TransactionAmount])</f>
        <v>714.16</v>
      </c>
      <c r="E390" t="str">
        <f t="shared" si="33"/>
        <v>534</v>
      </c>
      <c r="F390" t="str">
        <f t="shared" si="34"/>
        <v>Champions</v>
      </c>
      <c r="J390">
        <f t="shared" si="35"/>
        <v>5</v>
      </c>
      <c r="K390">
        <f t="shared" si="36"/>
        <v>3</v>
      </c>
      <c r="L390">
        <f t="shared" si="37"/>
        <v>4</v>
      </c>
    </row>
    <row r="391" spans="1:12" x14ac:dyDescent="0.35">
      <c r="A391">
        <v>4792</v>
      </c>
      <c r="B391" s="3">
        <f>H$6-_xlfn.MAXIFS(Table1[PurchaseDate],Table1[CustomerID],A391)</f>
        <v>42</v>
      </c>
      <c r="C391">
        <f>COUNTIF(Table1[CustomerID],A391)</f>
        <v>1</v>
      </c>
      <c r="D391" s="12">
        <f>SUMIF(Table1[CustomerID],A391,Table1[TransactionAmount])</f>
        <v>709.89</v>
      </c>
      <c r="E391" t="str">
        <f t="shared" si="33"/>
        <v>214</v>
      </c>
      <c r="F391" t="str">
        <f t="shared" si="34"/>
        <v>Needs Attention</v>
      </c>
      <c r="J391">
        <f t="shared" si="35"/>
        <v>2</v>
      </c>
      <c r="K391">
        <f t="shared" si="36"/>
        <v>1</v>
      </c>
      <c r="L391">
        <f t="shared" si="37"/>
        <v>4</v>
      </c>
    </row>
    <row r="392" spans="1:12" x14ac:dyDescent="0.35">
      <c r="A392">
        <v>4804</v>
      </c>
      <c r="B392" s="3">
        <f>H$6-_xlfn.MAXIFS(Table1[PurchaseDate],Table1[CustomerID],A392)</f>
        <v>26</v>
      </c>
      <c r="C392">
        <f>COUNTIF(Table1[CustomerID],A392)</f>
        <v>3</v>
      </c>
      <c r="D392" s="12">
        <f>SUMIF(Table1[CustomerID],A392,Table1[TransactionAmount])</f>
        <v>2073.33</v>
      </c>
      <c r="E392" t="str">
        <f t="shared" si="33"/>
        <v>345</v>
      </c>
      <c r="F392" t="str">
        <f t="shared" si="34"/>
        <v>Loyal Customers</v>
      </c>
      <c r="J392">
        <f t="shared" si="35"/>
        <v>3</v>
      </c>
      <c r="K392">
        <f t="shared" si="36"/>
        <v>4</v>
      </c>
      <c r="L392">
        <f t="shared" si="37"/>
        <v>5</v>
      </c>
    </row>
    <row r="393" spans="1:12" x14ac:dyDescent="0.35">
      <c r="A393">
        <v>4812</v>
      </c>
      <c r="B393" s="3">
        <f>H$6-_xlfn.MAXIFS(Table1[PurchaseDate],Table1[CustomerID],A393)</f>
        <v>15</v>
      </c>
      <c r="C393">
        <f>COUNTIF(Table1[CustomerID],A393)</f>
        <v>2</v>
      </c>
      <c r="D393" s="12">
        <f>SUMIF(Table1[CustomerID],A393,Table1[TransactionAmount])</f>
        <v>1279.44</v>
      </c>
      <c r="E393" t="str">
        <f t="shared" si="33"/>
        <v>435</v>
      </c>
      <c r="F393" t="str">
        <f t="shared" si="34"/>
        <v>Champions</v>
      </c>
      <c r="J393">
        <f t="shared" si="35"/>
        <v>4</v>
      </c>
      <c r="K393">
        <f t="shared" si="36"/>
        <v>3</v>
      </c>
      <c r="L393">
        <f t="shared" si="37"/>
        <v>5</v>
      </c>
    </row>
    <row r="394" spans="1:12" x14ac:dyDescent="0.35">
      <c r="A394">
        <v>4814</v>
      </c>
      <c r="B394" s="3">
        <f>H$6-_xlfn.MAXIFS(Table1[PurchaseDate],Table1[CustomerID],A394)</f>
        <v>55</v>
      </c>
      <c r="C394">
        <f>COUNTIF(Table1[CustomerID],A394)</f>
        <v>1</v>
      </c>
      <c r="D394" s="12">
        <f>SUMIF(Table1[CustomerID],A394,Table1[TransactionAmount])</f>
        <v>159.18</v>
      </c>
      <c r="E394" t="str">
        <f t="shared" si="33"/>
        <v>111</v>
      </c>
      <c r="F394" t="str">
        <f t="shared" si="34"/>
        <v>At Risk</v>
      </c>
      <c r="J394">
        <f t="shared" si="35"/>
        <v>1</v>
      </c>
      <c r="K394">
        <f t="shared" si="36"/>
        <v>1</v>
      </c>
      <c r="L394">
        <f t="shared" si="37"/>
        <v>1</v>
      </c>
    </row>
    <row r="395" spans="1:12" x14ac:dyDescent="0.35">
      <c r="A395">
        <v>4817</v>
      </c>
      <c r="B395" s="3">
        <f>H$6-_xlfn.MAXIFS(Table1[PurchaseDate],Table1[CustomerID],A395)</f>
        <v>44</v>
      </c>
      <c r="C395">
        <f>COUNTIF(Table1[CustomerID],A395)</f>
        <v>1</v>
      </c>
      <c r="D395" s="12">
        <f>SUMIF(Table1[CustomerID],A395,Table1[TransactionAmount])</f>
        <v>812.96</v>
      </c>
      <c r="E395" t="str">
        <f t="shared" si="33"/>
        <v>214</v>
      </c>
      <c r="F395" t="str">
        <f t="shared" si="34"/>
        <v>Needs Attention</v>
      </c>
      <c r="J395">
        <f t="shared" si="35"/>
        <v>2</v>
      </c>
      <c r="K395">
        <f t="shared" si="36"/>
        <v>1</v>
      </c>
      <c r="L395">
        <f t="shared" si="37"/>
        <v>4</v>
      </c>
    </row>
    <row r="396" spans="1:12" x14ac:dyDescent="0.35">
      <c r="A396">
        <v>4858</v>
      </c>
      <c r="B396" s="3">
        <f>H$6-_xlfn.MAXIFS(Table1[PurchaseDate],Table1[CustomerID],A396)</f>
        <v>32</v>
      </c>
      <c r="C396">
        <f>COUNTIF(Table1[CustomerID],A396)</f>
        <v>1</v>
      </c>
      <c r="D396" s="12">
        <f>SUMIF(Table1[CustomerID],A396,Table1[TransactionAmount])</f>
        <v>756.22</v>
      </c>
      <c r="E396" t="str">
        <f t="shared" si="33"/>
        <v>314</v>
      </c>
      <c r="F396" t="str">
        <f t="shared" si="34"/>
        <v>Potential Loyalists</v>
      </c>
      <c r="J396">
        <f t="shared" si="35"/>
        <v>3</v>
      </c>
      <c r="K396">
        <f t="shared" si="36"/>
        <v>1</v>
      </c>
      <c r="L396">
        <f t="shared" si="37"/>
        <v>4</v>
      </c>
    </row>
    <row r="397" spans="1:12" x14ac:dyDescent="0.35">
      <c r="A397">
        <v>4863</v>
      </c>
      <c r="B397" s="3">
        <f>H$6-_xlfn.MAXIFS(Table1[PurchaseDate],Table1[CustomerID],A397)</f>
        <v>25</v>
      </c>
      <c r="C397">
        <f>COUNTIF(Table1[CustomerID],A397)</f>
        <v>1</v>
      </c>
      <c r="D397" s="12">
        <f>SUMIF(Table1[CustomerID],A397,Table1[TransactionAmount])</f>
        <v>437.9</v>
      </c>
      <c r="E397" t="str">
        <f t="shared" si="33"/>
        <v>312</v>
      </c>
      <c r="F397" t="str">
        <f t="shared" si="34"/>
        <v>Needs Attention</v>
      </c>
      <c r="J397">
        <f t="shared" si="35"/>
        <v>3</v>
      </c>
      <c r="K397">
        <f t="shared" si="36"/>
        <v>1</v>
      </c>
      <c r="L397">
        <f t="shared" si="37"/>
        <v>2</v>
      </c>
    </row>
    <row r="398" spans="1:12" x14ac:dyDescent="0.35">
      <c r="A398">
        <v>4868</v>
      </c>
      <c r="B398" s="3">
        <f>H$6-_xlfn.MAXIFS(Table1[PurchaseDate],Table1[CustomerID],A398)</f>
        <v>6</v>
      </c>
      <c r="C398">
        <f>COUNTIF(Table1[CustomerID],A398)</f>
        <v>1</v>
      </c>
      <c r="D398" s="12">
        <f>SUMIF(Table1[CustomerID],A398,Table1[TransactionAmount])</f>
        <v>369.06</v>
      </c>
      <c r="E398" t="str">
        <f t="shared" si="33"/>
        <v>512</v>
      </c>
      <c r="F398" t="str">
        <f t="shared" si="34"/>
        <v>Needs Attention</v>
      </c>
      <c r="J398">
        <f t="shared" si="35"/>
        <v>5</v>
      </c>
      <c r="K398">
        <f t="shared" si="36"/>
        <v>1</v>
      </c>
      <c r="L398">
        <f t="shared" si="37"/>
        <v>2</v>
      </c>
    </row>
    <row r="399" spans="1:12" x14ac:dyDescent="0.35">
      <c r="A399">
        <v>4871</v>
      </c>
      <c r="B399" s="3">
        <f>H$6-_xlfn.MAXIFS(Table1[PurchaseDate],Table1[CustomerID],A399)</f>
        <v>54</v>
      </c>
      <c r="C399">
        <f>COUNTIF(Table1[CustomerID],A399)</f>
        <v>1</v>
      </c>
      <c r="D399" s="12">
        <f>SUMIF(Table1[CustomerID],A399,Table1[TransactionAmount])</f>
        <v>154.97999999999999</v>
      </c>
      <c r="E399" t="str">
        <f t="shared" si="33"/>
        <v>111</v>
      </c>
      <c r="F399" t="str">
        <f t="shared" si="34"/>
        <v>At Risk</v>
      </c>
      <c r="J399">
        <f t="shared" si="35"/>
        <v>1</v>
      </c>
      <c r="K399">
        <f t="shared" si="36"/>
        <v>1</v>
      </c>
      <c r="L399">
        <f t="shared" si="37"/>
        <v>1</v>
      </c>
    </row>
    <row r="400" spans="1:12" x14ac:dyDescent="0.35">
      <c r="A400">
        <v>4878</v>
      </c>
      <c r="B400" s="3">
        <f>H$6-_xlfn.MAXIFS(Table1[PurchaseDate],Table1[CustomerID],A400)</f>
        <v>5</v>
      </c>
      <c r="C400">
        <f>COUNTIF(Table1[CustomerID],A400)</f>
        <v>1</v>
      </c>
      <c r="D400" s="12">
        <f>SUMIF(Table1[CustomerID],A400,Table1[TransactionAmount])</f>
        <v>170.88</v>
      </c>
      <c r="E400" t="str">
        <f t="shared" si="33"/>
        <v>511</v>
      </c>
      <c r="F400" t="str">
        <f t="shared" si="34"/>
        <v>Needs Attention</v>
      </c>
      <c r="J400">
        <f t="shared" si="35"/>
        <v>5</v>
      </c>
      <c r="K400">
        <f t="shared" si="36"/>
        <v>1</v>
      </c>
      <c r="L400">
        <f t="shared" si="37"/>
        <v>1</v>
      </c>
    </row>
    <row r="401" spans="1:12" x14ac:dyDescent="0.35">
      <c r="A401">
        <v>4879</v>
      </c>
      <c r="B401" s="3">
        <f>H$6-_xlfn.MAXIFS(Table1[PurchaseDate],Table1[CustomerID],A401)</f>
        <v>42</v>
      </c>
      <c r="C401">
        <f>COUNTIF(Table1[CustomerID],A401)</f>
        <v>1</v>
      </c>
      <c r="D401" s="12">
        <f>SUMIF(Table1[CustomerID],A401,Table1[TransactionAmount])</f>
        <v>268.38</v>
      </c>
      <c r="E401" t="str">
        <f t="shared" si="33"/>
        <v>212</v>
      </c>
      <c r="F401" t="str">
        <f t="shared" si="34"/>
        <v>At Risk</v>
      </c>
      <c r="J401">
        <f t="shared" si="35"/>
        <v>2</v>
      </c>
      <c r="K401">
        <f t="shared" si="36"/>
        <v>1</v>
      </c>
      <c r="L401">
        <f t="shared" si="37"/>
        <v>2</v>
      </c>
    </row>
    <row r="402" spans="1:12" x14ac:dyDescent="0.35">
      <c r="A402">
        <v>4882</v>
      </c>
      <c r="B402" s="3">
        <f>H$6-_xlfn.MAXIFS(Table1[PurchaseDate],Table1[CustomerID],A402)</f>
        <v>47</v>
      </c>
      <c r="C402">
        <f>COUNTIF(Table1[CustomerID],A402)</f>
        <v>1</v>
      </c>
      <c r="D402" s="12">
        <f>SUMIF(Table1[CustomerID],A402,Table1[TransactionAmount])</f>
        <v>812.6</v>
      </c>
      <c r="E402" t="str">
        <f t="shared" si="33"/>
        <v>214</v>
      </c>
      <c r="F402" t="str">
        <f t="shared" si="34"/>
        <v>Needs Attention</v>
      </c>
      <c r="J402">
        <f t="shared" si="35"/>
        <v>2</v>
      </c>
      <c r="K402">
        <f t="shared" si="36"/>
        <v>1</v>
      </c>
      <c r="L402">
        <f t="shared" si="37"/>
        <v>4</v>
      </c>
    </row>
    <row r="403" spans="1:12" x14ac:dyDescent="0.35">
      <c r="A403">
        <v>4892</v>
      </c>
      <c r="B403" s="3">
        <f>H$6-_xlfn.MAXIFS(Table1[PurchaseDate],Table1[CustomerID],A403)</f>
        <v>28</v>
      </c>
      <c r="C403">
        <f>COUNTIF(Table1[CustomerID],A403)</f>
        <v>1</v>
      </c>
      <c r="D403" s="12">
        <f>SUMIF(Table1[CustomerID],A403,Table1[TransactionAmount])</f>
        <v>786.46</v>
      </c>
      <c r="E403" t="str">
        <f t="shared" si="33"/>
        <v>314</v>
      </c>
      <c r="F403" t="str">
        <f t="shared" si="34"/>
        <v>Potential Loyalists</v>
      </c>
      <c r="J403">
        <f t="shared" si="35"/>
        <v>3</v>
      </c>
      <c r="K403">
        <f t="shared" si="36"/>
        <v>1</v>
      </c>
      <c r="L403">
        <f t="shared" si="37"/>
        <v>4</v>
      </c>
    </row>
    <row r="404" spans="1:12" x14ac:dyDescent="0.35">
      <c r="A404">
        <v>4893</v>
      </c>
      <c r="B404" s="3">
        <f>H$6-_xlfn.MAXIFS(Table1[PurchaseDate],Table1[CustomerID],A404)</f>
        <v>41</v>
      </c>
      <c r="C404">
        <f>COUNTIF(Table1[CustomerID],A404)</f>
        <v>1</v>
      </c>
      <c r="D404" s="12">
        <f>SUMIF(Table1[CustomerID],A404,Table1[TransactionAmount])</f>
        <v>130.63</v>
      </c>
      <c r="E404" t="str">
        <f t="shared" si="33"/>
        <v>211</v>
      </c>
      <c r="F404" t="str">
        <f t="shared" si="34"/>
        <v>At Risk</v>
      </c>
      <c r="J404">
        <f t="shared" si="35"/>
        <v>2</v>
      </c>
      <c r="K404">
        <f t="shared" si="36"/>
        <v>1</v>
      </c>
      <c r="L404">
        <f t="shared" si="37"/>
        <v>1</v>
      </c>
    </row>
    <row r="405" spans="1:12" x14ac:dyDescent="0.35">
      <c r="A405">
        <v>4909</v>
      </c>
      <c r="B405" s="3">
        <f>H$6-_xlfn.MAXIFS(Table1[PurchaseDate],Table1[CustomerID],A405)</f>
        <v>57</v>
      </c>
      <c r="C405">
        <f>COUNTIF(Table1[CustomerID],A405)</f>
        <v>1</v>
      </c>
      <c r="D405" s="12">
        <f>SUMIF(Table1[CustomerID],A405,Table1[TransactionAmount])</f>
        <v>252.03</v>
      </c>
      <c r="E405" t="str">
        <f t="shared" si="33"/>
        <v>112</v>
      </c>
      <c r="F405" t="str">
        <f t="shared" si="34"/>
        <v>At Risk</v>
      </c>
      <c r="J405">
        <f t="shared" si="35"/>
        <v>1</v>
      </c>
      <c r="K405">
        <f t="shared" si="36"/>
        <v>1</v>
      </c>
      <c r="L405">
        <f t="shared" si="37"/>
        <v>2</v>
      </c>
    </row>
    <row r="406" spans="1:12" x14ac:dyDescent="0.35">
      <c r="A406">
        <v>4912</v>
      </c>
      <c r="B406" s="3">
        <f>H$6-_xlfn.MAXIFS(Table1[PurchaseDate],Table1[CustomerID],A406)</f>
        <v>40</v>
      </c>
      <c r="C406">
        <f>COUNTIF(Table1[CustomerID],A406)</f>
        <v>1</v>
      </c>
      <c r="D406" s="12">
        <f>SUMIF(Table1[CustomerID],A406,Table1[TransactionAmount])</f>
        <v>723.79</v>
      </c>
      <c r="E406" t="str">
        <f t="shared" si="33"/>
        <v>214</v>
      </c>
      <c r="F406" t="str">
        <f t="shared" si="34"/>
        <v>Needs Attention</v>
      </c>
      <c r="J406">
        <f t="shared" si="35"/>
        <v>2</v>
      </c>
      <c r="K406">
        <f t="shared" si="36"/>
        <v>1</v>
      </c>
      <c r="L406">
        <f t="shared" si="37"/>
        <v>4</v>
      </c>
    </row>
    <row r="407" spans="1:12" x14ac:dyDescent="0.35">
      <c r="A407">
        <v>4913</v>
      </c>
      <c r="B407" s="3">
        <f>H$6-_xlfn.MAXIFS(Table1[PurchaseDate],Table1[CustomerID],A407)</f>
        <v>6</v>
      </c>
      <c r="C407">
        <f>COUNTIF(Table1[CustomerID],A407)</f>
        <v>1</v>
      </c>
      <c r="D407" s="12">
        <f>SUMIF(Table1[CustomerID],A407,Table1[TransactionAmount])</f>
        <v>964.36</v>
      </c>
      <c r="E407" t="str">
        <f t="shared" si="33"/>
        <v>515</v>
      </c>
      <c r="F407" t="str">
        <f t="shared" si="34"/>
        <v>Potential Loyalists</v>
      </c>
      <c r="J407">
        <f t="shared" si="35"/>
        <v>5</v>
      </c>
      <c r="K407">
        <f t="shared" si="36"/>
        <v>1</v>
      </c>
      <c r="L407">
        <f t="shared" si="37"/>
        <v>5</v>
      </c>
    </row>
    <row r="408" spans="1:12" x14ac:dyDescent="0.35">
      <c r="A408">
        <v>4920</v>
      </c>
      <c r="B408" s="3">
        <f>H$6-_xlfn.MAXIFS(Table1[PurchaseDate],Table1[CustomerID],A408)</f>
        <v>15</v>
      </c>
      <c r="C408">
        <f>COUNTIF(Table1[CustomerID],A408)</f>
        <v>1</v>
      </c>
      <c r="D408" s="12">
        <f>SUMIF(Table1[CustomerID],A408,Table1[TransactionAmount])</f>
        <v>166.79</v>
      </c>
      <c r="E408" t="str">
        <f t="shared" si="33"/>
        <v>411</v>
      </c>
      <c r="F408" t="str">
        <f t="shared" si="34"/>
        <v>Needs Attention</v>
      </c>
      <c r="J408">
        <f t="shared" si="35"/>
        <v>4</v>
      </c>
      <c r="K408">
        <f t="shared" si="36"/>
        <v>1</v>
      </c>
      <c r="L408">
        <f t="shared" si="37"/>
        <v>1</v>
      </c>
    </row>
    <row r="409" spans="1:12" x14ac:dyDescent="0.35">
      <c r="A409">
        <v>4923</v>
      </c>
      <c r="B409" s="3">
        <f>H$6-_xlfn.MAXIFS(Table1[PurchaseDate],Table1[CustomerID],A409)</f>
        <v>57</v>
      </c>
      <c r="C409">
        <f>COUNTIF(Table1[CustomerID],A409)</f>
        <v>1</v>
      </c>
      <c r="D409" s="12">
        <f>SUMIF(Table1[CustomerID],A409,Table1[TransactionAmount])</f>
        <v>248.46</v>
      </c>
      <c r="E409" t="str">
        <f t="shared" si="33"/>
        <v>112</v>
      </c>
      <c r="F409" t="str">
        <f t="shared" si="34"/>
        <v>At Risk</v>
      </c>
      <c r="J409">
        <f t="shared" si="35"/>
        <v>1</v>
      </c>
      <c r="K409">
        <f t="shared" si="36"/>
        <v>1</v>
      </c>
      <c r="L409">
        <f t="shared" si="37"/>
        <v>2</v>
      </c>
    </row>
    <row r="410" spans="1:12" x14ac:dyDescent="0.35">
      <c r="A410">
        <v>4943</v>
      </c>
      <c r="B410" s="3">
        <f>H$6-_xlfn.MAXIFS(Table1[PurchaseDate],Table1[CustomerID],A410)</f>
        <v>24</v>
      </c>
      <c r="C410">
        <f>COUNTIF(Table1[CustomerID],A410)</f>
        <v>2</v>
      </c>
      <c r="D410" s="12">
        <f>SUMIF(Table1[CustomerID],A410,Table1[TransactionAmount])</f>
        <v>626.79</v>
      </c>
      <c r="E410" t="str">
        <f t="shared" si="33"/>
        <v>433</v>
      </c>
      <c r="F410" t="str">
        <f t="shared" si="34"/>
        <v>Loyal Customers</v>
      </c>
      <c r="J410">
        <f t="shared" si="35"/>
        <v>4</v>
      </c>
      <c r="K410">
        <f t="shared" si="36"/>
        <v>3</v>
      </c>
      <c r="L410">
        <f t="shared" si="37"/>
        <v>3</v>
      </c>
    </row>
    <row r="411" spans="1:12" x14ac:dyDescent="0.35">
      <c r="A411">
        <v>4944</v>
      </c>
      <c r="B411" s="3">
        <f>H$6-_xlfn.MAXIFS(Table1[PurchaseDate],Table1[CustomerID],A411)</f>
        <v>47</v>
      </c>
      <c r="C411">
        <f>COUNTIF(Table1[CustomerID],A411)</f>
        <v>1</v>
      </c>
      <c r="D411" s="12">
        <f>SUMIF(Table1[CustomerID],A411,Table1[TransactionAmount])</f>
        <v>587.51</v>
      </c>
      <c r="E411" t="str">
        <f t="shared" si="33"/>
        <v>213</v>
      </c>
      <c r="F411" t="str">
        <f t="shared" si="34"/>
        <v>Needs Attention</v>
      </c>
      <c r="J411">
        <f t="shared" si="35"/>
        <v>2</v>
      </c>
      <c r="K411">
        <f t="shared" si="36"/>
        <v>1</v>
      </c>
      <c r="L411">
        <f t="shared" si="37"/>
        <v>3</v>
      </c>
    </row>
    <row r="412" spans="1:12" x14ac:dyDescent="0.35">
      <c r="A412">
        <v>4948</v>
      </c>
      <c r="B412" s="3">
        <f>H$6-_xlfn.MAXIFS(Table1[PurchaseDate],Table1[CustomerID],A412)</f>
        <v>6</v>
      </c>
      <c r="C412">
        <f>COUNTIF(Table1[CustomerID],A412)</f>
        <v>1</v>
      </c>
      <c r="D412" s="12">
        <f>SUMIF(Table1[CustomerID],A412,Table1[TransactionAmount])</f>
        <v>233.09</v>
      </c>
      <c r="E412" t="str">
        <f t="shared" si="33"/>
        <v>512</v>
      </c>
      <c r="F412" t="str">
        <f t="shared" si="34"/>
        <v>Needs Attention</v>
      </c>
      <c r="J412">
        <f t="shared" si="35"/>
        <v>5</v>
      </c>
      <c r="K412">
        <f t="shared" si="36"/>
        <v>1</v>
      </c>
      <c r="L412">
        <f t="shared" si="37"/>
        <v>2</v>
      </c>
    </row>
    <row r="413" spans="1:12" x14ac:dyDescent="0.35">
      <c r="A413">
        <v>4974</v>
      </c>
      <c r="B413" s="3">
        <f>H$6-_xlfn.MAXIFS(Table1[PurchaseDate],Table1[CustomerID],A413)</f>
        <v>16</v>
      </c>
      <c r="C413">
        <f>COUNTIF(Table1[CustomerID],A413)</f>
        <v>2</v>
      </c>
      <c r="D413" s="12">
        <f>SUMIF(Table1[CustomerID],A413,Table1[TransactionAmount])</f>
        <v>982.95</v>
      </c>
      <c r="E413" t="str">
        <f t="shared" si="33"/>
        <v>435</v>
      </c>
      <c r="F413" t="str">
        <f t="shared" si="34"/>
        <v>Champions</v>
      </c>
      <c r="J413">
        <f t="shared" si="35"/>
        <v>4</v>
      </c>
      <c r="K413">
        <f t="shared" si="36"/>
        <v>3</v>
      </c>
      <c r="L413">
        <f t="shared" si="37"/>
        <v>5</v>
      </c>
    </row>
    <row r="414" spans="1:12" x14ac:dyDescent="0.35">
      <c r="A414">
        <v>4982</v>
      </c>
      <c r="B414" s="3">
        <f>H$6-_xlfn.MAXIFS(Table1[PurchaseDate],Table1[CustomerID],A414)</f>
        <v>0</v>
      </c>
      <c r="C414">
        <f>COUNTIF(Table1[CustomerID],A414)</f>
        <v>1</v>
      </c>
      <c r="D414" s="12">
        <f>SUMIF(Table1[CustomerID],A414,Table1[TransactionAmount])</f>
        <v>624.79</v>
      </c>
      <c r="E414" t="str">
        <f t="shared" si="33"/>
        <v>513</v>
      </c>
      <c r="F414" t="str">
        <f t="shared" si="34"/>
        <v>Potential Loyalists</v>
      </c>
      <c r="J414">
        <f t="shared" si="35"/>
        <v>5</v>
      </c>
      <c r="K414">
        <f t="shared" si="36"/>
        <v>1</v>
      </c>
      <c r="L414">
        <f t="shared" si="37"/>
        <v>3</v>
      </c>
    </row>
    <row r="415" spans="1:12" x14ac:dyDescent="0.35">
      <c r="A415">
        <v>4986</v>
      </c>
      <c r="B415" s="3">
        <f>H$6-_xlfn.MAXIFS(Table1[PurchaseDate],Table1[CustomerID],A415)</f>
        <v>41</v>
      </c>
      <c r="C415">
        <f>COUNTIF(Table1[CustomerID],A415)</f>
        <v>1</v>
      </c>
      <c r="D415" s="12">
        <f>SUMIF(Table1[CustomerID],A415,Table1[TransactionAmount])</f>
        <v>667.32</v>
      </c>
      <c r="E415" t="str">
        <f t="shared" si="33"/>
        <v>214</v>
      </c>
      <c r="F415" t="str">
        <f t="shared" si="34"/>
        <v>Needs Attention</v>
      </c>
      <c r="J415">
        <f t="shared" si="35"/>
        <v>2</v>
      </c>
      <c r="K415">
        <f t="shared" si="36"/>
        <v>1</v>
      </c>
      <c r="L415">
        <f t="shared" si="37"/>
        <v>4</v>
      </c>
    </row>
    <row r="416" spans="1:12" x14ac:dyDescent="0.35">
      <c r="A416">
        <v>4990</v>
      </c>
      <c r="B416" s="3">
        <f>H$6-_xlfn.MAXIFS(Table1[PurchaseDate],Table1[CustomerID],A416)</f>
        <v>52</v>
      </c>
      <c r="C416">
        <f>COUNTIF(Table1[CustomerID],A416)</f>
        <v>1</v>
      </c>
      <c r="D416" s="12">
        <f>SUMIF(Table1[CustomerID],A416,Table1[TransactionAmount])</f>
        <v>789.11</v>
      </c>
      <c r="E416" t="str">
        <f t="shared" si="33"/>
        <v>114</v>
      </c>
      <c r="F416" t="str">
        <f t="shared" si="34"/>
        <v>Needs Attention</v>
      </c>
      <c r="J416">
        <f t="shared" si="35"/>
        <v>1</v>
      </c>
      <c r="K416">
        <f t="shared" si="36"/>
        <v>1</v>
      </c>
      <c r="L416">
        <f t="shared" si="37"/>
        <v>4</v>
      </c>
    </row>
    <row r="417" spans="1:12" x14ac:dyDescent="0.35">
      <c r="A417">
        <v>5009</v>
      </c>
      <c r="B417" s="3">
        <f>H$6-_xlfn.MAXIFS(Table1[PurchaseDate],Table1[CustomerID],A417)</f>
        <v>13</v>
      </c>
      <c r="C417">
        <f>COUNTIF(Table1[CustomerID],A417)</f>
        <v>1</v>
      </c>
      <c r="D417" s="12">
        <f>SUMIF(Table1[CustomerID],A417,Table1[TransactionAmount])</f>
        <v>53.79</v>
      </c>
      <c r="E417" t="str">
        <f t="shared" si="33"/>
        <v>411</v>
      </c>
      <c r="F417" t="str">
        <f t="shared" si="34"/>
        <v>Needs Attention</v>
      </c>
      <c r="J417">
        <f t="shared" si="35"/>
        <v>4</v>
      </c>
      <c r="K417">
        <f t="shared" si="36"/>
        <v>1</v>
      </c>
      <c r="L417">
        <f t="shared" si="37"/>
        <v>1</v>
      </c>
    </row>
    <row r="418" spans="1:12" x14ac:dyDescent="0.35">
      <c r="A418">
        <v>5011</v>
      </c>
      <c r="B418" s="3">
        <f>H$6-_xlfn.MAXIFS(Table1[PurchaseDate],Table1[CustomerID],A418)</f>
        <v>30</v>
      </c>
      <c r="C418">
        <f>COUNTIF(Table1[CustomerID],A418)</f>
        <v>1</v>
      </c>
      <c r="D418" s="12">
        <f>SUMIF(Table1[CustomerID],A418,Table1[TransactionAmount])</f>
        <v>615.16</v>
      </c>
      <c r="E418" t="str">
        <f t="shared" si="33"/>
        <v>313</v>
      </c>
      <c r="F418" t="str">
        <f t="shared" si="34"/>
        <v>Potential Loyalists</v>
      </c>
      <c r="J418">
        <f t="shared" si="35"/>
        <v>3</v>
      </c>
      <c r="K418">
        <f t="shared" si="36"/>
        <v>1</v>
      </c>
      <c r="L418">
        <f t="shared" si="37"/>
        <v>3</v>
      </c>
    </row>
    <row r="419" spans="1:12" x14ac:dyDescent="0.35">
      <c r="A419">
        <v>5033</v>
      </c>
      <c r="B419" s="3">
        <f>H$6-_xlfn.MAXIFS(Table1[PurchaseDate],Table1[CustomerID],A419)</f>
        <v>23</v>
      </c>
      <c r="C419">
        <f>COUNTIF(Table1[CustomerID],A419)</f>
        <v>1</v>
      </c>
      <c r="D419" s="12">
        <f>SUMIF(Table1[CustomerID],A419,Table1[TransactionAmount])</f>
        <v>598.57000000000005</v>
      </c>
      <c r="E419" t="str">
        <f t="shared" si="33"/>
        <v>413</v>
      </c>
      <c r="F419" t="str">
        <f t="shared" si="34"/>
        <v>Potential Loyalists</v>
      </c>
      <c r="J419">
        <f t="shared" si="35"/>
        <v>4</v>
      </c>
      <c r="K419">
        <f t="shared" si="36"/>
        <v>1</v>
      </c>
      <c r="L419">
        <f t="shared" si="37"/>
        <v>3</v>
      </c>
    </row>
    <row r="420" spans="1:12" x14ac:dyDescent="0.35">
      <c r="A420">
        <v>5040</v>
      </c>
      <c r="B420" s="3">
        <f>H$6-_xlfn.MAXIFS(Table1[PurchaseDate],Table1[CustomerID],A420)</f>
        <v>14</v>
      </c>
      <c r="C420">
        <f>COUNTIF(Table1[CustomerID],A420)</f>
        <v>1</v>
      </c>
      <c r="D420" s="12">
        <f>SUMIF(Table1[CustomerID],A420,Table1[TransactionAmount])</f>
        <v>628.78</v>
      </c>
      <c r="E420" t="str">
        <f t="shared" si="33"/>
        <v>413</v>
      </c>
      <c r="F420" t="str">
        <f t="shared" si="34"/>
        <v>Potential Loyalists</v>
      </c>
      <c r="J420">
        <f t="shared" si="35"/>
        <v>4</v>
      </c>
      <c r="K420">
        <f t="shared" si="36"/>
        <v>1</v>
      </c>
      <c r="L420">
        <f t="shared" si="37"/>
        <v>3</v>
      </c>
    </row>
    <row r="421" spans="1:12" x14ac:dyDescent="0.35">
      <c r="A421">
        <v>5049</v>
      </c>
      <c r="B421" s="3">
        <f>H$6-_xlfn.MAXIFS(Table1[PurchaseDate],Table1[CustomerID],A421)</f>
        <v>13</v>
      </c>
      <c r="C421">
        <f>COUNTIF(Table1[CustomerID],A421)</f>
        <v>1</v>
      </c>
      <c r="D421" s="12">
        <f>SUMIF(Table1[CustomerID],A421,Table1[TransactionAmount])</f>
        <v>994.59</v>
      </c>
      <c r="E421" t="str">
        <f t="shared" si="33"/>
        <v>415</v>
      </c>
      <c r="F421" t="str">
        <f t="shared" si="34"/>
        <v>Potential Loyalists</v>
      </c>
      <c r="J421">
        <f t="shared" si="35"/>
        <v>4</v>
      </c>
      <c r="K421">
        <f t="shared" si="36"/>
        <v>1</v>
      </c>
      <c r="L421">
        <f t="shared" si="37"/>
        <v>5</v>
      </c>
    </row>
    <row r="422" spans="1:12" x14ac:dyDescent="0.35">
      <c r="A422">
        <v>5051</v>
      </c>
      <c r="B422" s="3">
        <f>H$6-_xlfn.MAXIFS(Table1[PurchaseDate],Table1[CustomerID],A422)</f>
        <v>48</v>
      </c>
      <c r="C422">
        <f>COUNTIF(Table1[CustomerID],A422)</f>
        <v>1</v>
      </c>
      <c r="D422" s="12">
        <f>SUMIF(Table1[CustomerID],A422,Table1[TransactionAmount])</f>
        <v>840.84</v>
      </c>
      <c r="E422" t="str">
        <f t="shared" si="33"/>
        <v>115</v>
      </c>
      <c r="F422" t="str">
        <f t="shared" si="34"/>
        <v>Needs Attention</v>
      </c>
      <c r="J422">
        <f t="shared" si="35"/>
        <v>1</v>
      </c>
      <c r="K422">
        <f t="shared" si="36"/>
        <v>1</v>
      </c>
      <c r="L422">
        <f t="shared" si="37"/>
        <v>5</v>
      </c>
    </row>
    <row r="423" spans="1:12" x14ac:dyDescent="0.35">
      <c r="A423">
        <v>5059</v>
      </c>
      <c r="B423" s="3">
        <f>H$6-_xlfn.MAXIFS(Table1[PurchaseDate],Table1[CustomerID],A423)</f>
        <v>43</v>
      </c>
      <c r="C423">
        <f>COUNTIF(Table1[CustomerID],A423)</f>
        <v>1</v>
      </c>
      <c r="D423" s="12">
        <f>SUMIF(Table1[CustomerID],A423,Table1[TransactionAmount])</f>
        <v>648.16999999999996</v>
      </c>
      <c r="E423" t="str">
        <f t="shared" si="33"/>
        <v>214</v>
      </c>
      <c r="F423" t="str">
        <f t="shared" si="34"/>
        <v>Needs Attention</v>
      </c>
      <c r="J423">
        <f t="shared" si="35"/>
        <v>2</v>
      </c>
      <c r="K423">
        <f t="shared" si="36"/>
        <v>1</v>
      </c>
      <c r="L423">
        <f t="shared" si="37"/>
        <v>4</v>
      </c>
    </row>
    <row r="424" spans="1:12" x14ac:dyDescent="0.35">
      <c r="A424">
        <v>5060</v>
      </c>
      <c r="B424" s="3">
        <f>H$6-_xlfn.MAXIFS(Table1[PurchaseDate],Table1[CustomerID],A424)</f>
        <v>18</v>
      </c>
      <c r="C424">
        <f>COUNTIF(Table1[CustomerID],A424)</f>
        <v>1</v>
      </c>
      <c r="D424" s="12">
        <f>SUMIF(Table1[CustomerID],A424,Table1[TransactionAmount])</f>
        <v>248.74</v>
      </c>
      <c r="E424" t="str">
        <f t="shared" si="33"/>
        <v>412</v>
      </c>
      <c r="F424" t="str">
        <f t="shared" si="34"/>
        <v>Needs Attention</v>
      </c>
      <c r="J424">
        <f t="shared" si="35"/>
        <v>4</v>
      </c>
      <c r="K424">
        <f t="shared" si="36"/>
        <v>1</v>
      </c>
      <c r="L424">
        <f t="shared" si="37"/>
        <v>2</v>
      </c>
    </row>
    <row r="425" spans="1:12" x14ac:dyDescent="0.35">
      <c r="A425">
        <v>5067</v>
      </c>
      <c r="B425" s="3">
        <f>H$6-_xlfn.MAXIFS(Table1[PurchaseDate],Table1[CustomerID],A425)</f>
        <v>5</v>
      </c>
      <c r="C425">
        <f>COUNTIF(Table1[CustomerID],A425)</f>
        <v>2</v>
      </c>
      <c r="D425" s="12">
        <f>SUMIF(Table1[CustomerID],A425,Table1[TransactionAmount])</f>
        <v>1005.37</v>
      </c>
      <c r="E425" t="str">
        <f t="shared" si="33"/>
        <v>535</v>
      </c>
      <c r="F425" t="str">
        <f t="shared" si="34"/>
        <v>Champions</v>
      </c>
      <c r="J425">
        <f t="shared" si="35"/>
        <v>5</v>
      </c>
      <c r="K425">
        <f t="shared" si="36"/>
        <v>3</v>
      </c>
      <c r="L425">
        <f t="shared" si="37"/>
        <v>5</v>
      </c>
    </row>
    <row r="426" spans="1:12" x14ac:dyDescent="0.35">
      <c r="A426">
        <v>5076</v>
      </c>
      <c r="B426" s="3">
        <f>H$6-_xlfn.MAXIFS(Table1[PurchaseDate],Table1[CustomerID],A426)</f>
        <v>46</v>
      </c>
      <c r="C426">
        <f>COUNTIF(Table1[CustomerID],A426)</f>
        <v>1</v>
      </c>
      <c r="D426" s="12">
        <f>SUMIF(Table1[CustomerID],A426,Table1[TransactionAmount])</f>
        <v>696.59</v>
      </c>
      <c r="E426" t="str">
        <f t="shared" si="33"/>
        <v>214</v>
      </c>
      <c r="F426" t="str">
        <f t="shared" si="34"/>
        <v>Needs Attention</v>
      </c>
      <c r="J426">
        <f t="shared" si="35"/>
        <v>2</v>
      </c>
      <c r="K426">
        <f t="shared" si="36"/>
        <v>1</v>
      </c>
      <c r="L426">
        <f t="shared" si="37"/>
        <v>4</v>
      </c>
    </row>
    <row r="427" spans="1:12" x14ac:dyDescent="0.35">
      <c r="A427">
        <v>5087</v>
      </c>
      <c r="B427" s="3">
        <f>H$6-_xlfn.MAXIFS(Table1[PurchaseDate],Table1[CustomerID],A427)</f>
        <v>58</v>
      </c>
      <c r="C427">
        <f>COUNTIF(Table1[CustomerID],A427)</f>
        <v>1</v>
      </c>
      <c r="D427" s="12">
        <f>SUMIF(Table1[CustomerID],A427,Table1[TransactionAmount])</f>
        <v>461.88</v>
      </c>
      <c r="E427" t="str">
        <f t="shared" si="33"/>
        <v>113</v>
      </c>
      <c r="F427" t="str">
        <f t="shared" si="34"/>
        <v>Needs Attention</v>
      </c>
      <c r="J427">
        <f t="shared" si="35"/>
        <v>1</v>
      </c>
      <c r="K427">
        <f t="shared" si="36"/>
        <v>1</v>
      </c>
      <c r="L427">
        <f t="shared" si="37"/>
        <v>3</v>
      </c>
    </row>
    <row r="428" spans="1:12" x14ac:dyDescent="0.35">
      <c r="A428">
        <v>5088</v>
      </c>
      <c r="B428" s="3">
        <f>H$6-_xlfn.MAXIFS(Table1[PurchaseDate],Table1[CustomerID],A428)</f>
        <v>18</v>
      </c>
      <c r="C428">
        <f>COUNTIF(Table1[CustomerID],A428)</f>
        <v>1</v>
      </c>
      <c r="D428" s="12">
        <f>SUMIF(Table1[CustomerID],A428,Table1[TransactionAmount])</f>
        <v>111.77</v>
      </c>
      <c r="E428" t="str">
        <f t="shared" si="33"/>
        <v>411</v>
      </c>
      <c r="F428" t="str">
        <f t="shared" si="34"/>
        <v>Needs Attention</v>
      </c>
      <c r="J428">
        <f t="shared" si="35"/>
        <v>4</v>
      </c>
      <c r="K428">
        <f t="shared" si="36"/>
        <v>1</v>
      </c>
      <c r="L428">
        <f t="shared" si="37"/>
        <v>1</v>
      </c>
    </row>
    <row r="429" spans="1:12" x14ac:dyDescent="0.35">
      <c r="A429">
        <v>5102</v>
      </c>
      <c r="B429" s="3">
        <f>H$6-_xlfn.MAXIFS(Table1[PurchaseDate],Table1[CustomerID],A429)</f>
        <v>55</v>
      </c>
      <c r="C429">
        <f>COUNTIF(Table1[CustomerID],A429)</f>
        <v>1</v>
      </c>
      <c r="D429" s="12">
        <f>SUMIF(Table1[CustomerID],A429,Table1[TransactionAmount])</f>
        <v>378.13</v>
      </c>
      <c r="E429" t="str">
        <f t="shared" si="33"/>
        <v>112</v>
      </c>
      <c r="F429" t="str">
        <f t="shared" si="34"/>
        <v>At Risk</v>
      </c>
      <c r="J429">
        <f t="shared" si="35"/>
        <v>1</v>
      </c>
      <c r="K429">
        <f t="shared" si="36"/>
        <v>1</v>
      </c>
      <c r="L429">
        <f t="shared" si="37"/>
        <v>2</v>
      </c>
    </row>
    <row r="430" spans="1:12" x14ac:dyDescent="0.35">
      <c r="A430">
        <v>5105</v>
      </c>
      <c r="B430" s="3">
        <f>H$6-_xlfn.MAXIFS(Table1[PurchaseDate],Table1[CustomerID],A430)</f>
        <v>48</v>
      </c>
      <c r="C430">
        <f>COUNTIF(Table1[CustomerID],A430)</f>
        <v>1</v>
      </c>
      <c r="D430" s="12">
        <f>SUMIF(Table1[CustomerID],A430,Table1[TransactionAmount])</f>
        <v>638.71</v>
      </c>
      <c r="E430" t="str">
        <f t="shared" si="33"/>
        <v>113</v>
      </c>
      <c r="F430" t="str">
        <f t="shared" si="34"/>
        <v>Needs Attention</v>
      </c>
      <c r="J430">
        <f t="shared" si="35"/>
        <v>1</v>
      </c>
      <c r="K430">
        <f t="shared" si="36"/>
        <v>1</v>
      </c>
      <c r="L430">
        <f t="shared" si="37"/>
        <v>3</v>
      </c>
    </row>
    <row r="431" spans="1:12" x14ac:dyDescent="0.35">
      <c r="A431">
        <v>5106</v>
      </c>
      <c r="B431" s="3">
        <f>H$6-_xlfn.MAXIFS(Table1[PurchaseDate],Table1[CustomerID],A431)</f>
        <v>17</v>
      </c>
      <c r="C431">
        <f>COUNTIF(Table1[CustomerID],A431)</f>
        <v>1</v>
      </c>
      <c r="D431" s="12">
        <f>SUMIF(Table1[CustomerID],A431,Table1[TransactionAmount])</f>
        <v>758.02</v>
      </c>
      <c r="E431" t="str">
        <f t="shared" si="33"/>
        <v>414</v>
      </c>
      <c r="F431" t="str">
        <f t="shared" si="34"/>
        <v>Potential Loyalists</v>
      </c>
      <c r="J431">
        <f t="shared" si="35"/>
        <v>4</v>
      </c>
      <c r="K431">
        <f t="shared" si="36"/>
        <v>1</v>
      </c>
      <c r="L431">
        <f t="shared" si="37"/>
        <v>4</v>
      </c>
    </row>
    <row r="432" spans="1:12" x14ac:dyDescent="0.35">
      <c r="A432">
        <v>5107</v>
      </c>
      <c r="B432" s="3">
        <f>H$6-_xlfn.MAXIFS(Table1[PurchaseDate],Table1[CustomerID],A432)</f>
        <v>3</v>
      </c>
      <c r="C432">
        <f>COUNTIF(Table1[CustomerID],A432)</f>
        <v>1</v>
      </c>
      <c r="D432" s="12">
        <f>SUMIF(Table1[CustomerID],A432,Table1[TransactionAmount])</f>
        <v>49.09</v>
      </c>
      <c r="E432" t="str">
        <f t="shared" si="33"/>
        <v>511</v>
      </c>
      <c r="F432" t="str">
        <f t="shared" si="34"/>
        <v>Needs Attention</v>
      </c>
      <c r="J432">
        <f t="shared" si="35"/>
        <v>5</v>
      </c>
      <c r="K432">
        <f t="shared" si="36"/>
        <v>1</v>
      </c>
      <c r="L432">
        <f t="shared" si="37"/>
        <v>1</v>
      </c>
    </row>
    <row r="433" spans="1:12" x14ac:dyDescent="0.35">
      <c r="A433">
        <v>5114</v>
      </c>
      <c r="B433" s="3">
        <f>H$6-_xlfn.MAXIFS(Table1[PurchaseDate],Table1[CustomerID],A433)</f>
        <v>3</v>
      </c>
      <c r="C433">
        <f>COUNTIF(Table1[CustomerID],A433)</f>
        <v>1</v>
      </c>
      <c r="D433" s="12">
        <f>SUMIF(Table1[CustomerID],A433,Table1[TransactionAmount])</f>
        <v>909.08</v>
      </c>
      <c r="E433" t="str">
        <f t="shared" si="33"/>
        <v>515</v>
      </c>
      <c r="F433" t="str">
        <f t="shared" si="34"/>
        <v>Potential Loyalists</v>
      </c>
      <c r="J433">
        <f t="shared" si="35"/>
        <v>5</v>
      </c>
      <c r="K433">
        <f t="shared" si="36"/>
        <v>1</v>
      </c>
      <c r="L433">
        <f t="shared" si="37"/>
        <v>5</v>
      </c>
    </row>
    <row r="434" spans="1:12" x14ac:dyDescent="0.35">
      <c r="A434">
        <v>5150</v>
      </c>
      <c r="B434" s="3">
        <f>H$6-_xlfn.MAXIFS(Table1[PurchaseDate],Table1[CustomerID],A434)</f>
        <v>30</v>
      </c>
      <c r="C434">
        <f>COUNTIF(Table1[CustomerID],A434)</f>
        <v>1</v>
      </c>
      <c r="D434" s="12">
        <f>SUMIF(Table1[CustomerID],A434,Table1[TransactionAmount])</f>
        <v>642.13</v>
      </c>
      <c r="E434" t="str">
        <f t="shared" si="33"/>
        <v>313</v>
      </c>
      <c r="F434" t="str">
        <f t="shared" si="34"/>
        <v>Potential Loyalists</v>
      </c>
      <c r="J434">
        <f t="shared" si="35"/>
        <v>3</v>
      </c>
      <c r="K434">
        <f t="shared" si="36"/>
        <v>1</v>
      </c>
      <c r="L434">
        <f t="shared" si="37"/>
        <v>3</v>
      </c>
    </row>
    <row r="435" spans="1:12" x14ac:dyDescent="0.35">
      <c r="A435">
        <v>5173</v>
      </c>
      <c r="B435" s="3">
        <f>H$6-_xlfn.MAXIFS(Table1[PurchaseDate],Table1[CustomerID],A435)</f>
        <v>58</v>
      </c>
      <c r="C435">
        <f>COUNTIF(Table1[CustomerID],A435)</f>
        <v>1</v>
      </c>
      <c r="D435" s="12">
        <f>SUMIF(Table1[CustomerID],A435,Table1[TransactionAmount])</f>
        <v>711.7</v>
      </c>
      <c r="E435" t="str">
        <f t="shared" si="33"/>
        <v>114</v>
      </c>
      <c r="F435" t="str">
        <f t="shared" si="34"/>
        <v>Needs Attention</v>
      </c>
      <c r="J435">
        <f t="shared" si="35"/>
        <v>1</v>
      </c>
      <c r="K435">
        <f t="shared" si="36"/>
        <v>1</v>
      </c>
      <c r="L435">
        <f t="shared" si="37"/>
        <v>4</v>
      </c>
    </row>
    <row r="436" spans="1:12" x14ac:dyDescent="0.35">
      <c r="A436">
        <v>5179</v>
      </c>
      <c r="B436" s="3">
        <f>H$6-_xlfn.MAXIFS(Table1[PurchaseDate],Table1[CustomerID],A436)</f>
        <v>11</v>
      </c>
      <c r="C436">
        <f>COUNTIF(Table1[CustomerID],A436)</f>
        <v>1</v>
      </c>
      <c r="D436" s="12">
        <f>SUMIF(Table1[CustomerID],A436,Table1[TransactionAmount])</f>
        <v>111.88</v>
      </c>
      <c r="E436" t="str">
        <f t="shared" si="33"/>
        <v>511</v>
      </c>
      <c r="F436" t="str">
        <f t="shared" si="34"/>
        <v>Needs Attention</v>
      </c>
      <c r="J436">
        <f t="shared" si="35"/>
        <v>5</v>
      </c>
      <c r="K436">
        <f t="shared" si="36"/>
        <v>1</v>
      </c>
      <c r="L436">
        <f t="shared" si="37"/>
        <v>1</v>
      </c>
    </row>
    <row r="437" spans="1:12" x14ac:dyDescent="0.35">
      <c r="A437">
        <v>5192</v>
      </c>
      <c r="B437" s="3">
        <f>H$6-_xlfn.MAXIFS(Table1[PurchaseDate],Table1[CustomerID],A437)</f>
        <v>19</v>
      </c>
      <c r="C437">
        <f>COUNTIF(Table1[CustomerID],A437)</f>
        <v>1</v>
      </c>
      <c r="D437" s="12">
        <f>SUMIF(Table1[CustomerID],A437,Table1[TransactionAmount])</f>
        <v>238.85</v>
      </c>
      <c r="E437" t="str">
        <f t="shared" si="33"/>
        <v>412</v>
      </c>
      <c r="F437" t="str">
        <f t="shared" si="34"/>
        <v>Needs Attention</v>
      </c>
      <c r="J437">
        <f t="shared" si="35"/>
        <v>4</v>
      </c>
      <c r="K437">
        <f t="shared" si="36"/>
        <v>1</v>
      </c>
      <c r="L437">
        <f t="shared" si="37"/>
        <v>2</v>
      </c>
    </row>
    <row r="438" spans="1:12" x14ac:dyDescent="0.35">
      <c r="A438">
        <v>5201</v>
      </c>
      <c r="B438" s="3">
        <f>H$6-_xlfn.MAXIFS(Table1[PurchaseDate],Table1[CustomerID],A438)</f>
        <v>13</v>
      </c>
      <c r="C438">
        <f>COUNTIF(Table1[CustomerID],A438)</f>
        <v>1</v>
      </c>
      <c r="D438" s="12">
        <f>SUMIF(Table1[CustomerID],A438,Table1[TransactionAmount])</f>
        <v>484.29</v>
      </c>
      <c r="E438" t="str">
        <f t="shared" si="33"/>
        <v>413</v>
      </c>
      <c r="F438" t="str">
        <f t="shared" si="34"/>
        <v>Potential Loyalists</v>
      </c>
      <c r="J438">
        <f t="shared" si="35"/>
        <v>4</v>
      </c>
      <c r="K438">
        <f t="shared" si="36"/>
        <v>1</v>
      </c>
      <c r="L438">
        <f t="shared" si="37"/>
        <v>3</v>
      </c>
    </row>
    <row r="439" spans="1:12" x14ac:dyDescent="0.35">
      <c r="A439">
        <v>5215</v>
      </c>
      <c r="B439" s="3">
        <f>H$6-_xlfn.MAXIFS(Table1[PurchaseDate],Table1[CustomerID],A439)</f>
        <v>15</v>
      </c>
      <c r="C439">
        <f>COUNTIF(Table1[CustomerID],A439)</f>
        <v>1</v>
      </c>
      <c r="D439" s="12">
        <f>SUMIF(Table1[CustomerID],A439,Table1[TransactionAmount])</f>
        <v>194.34</v>
      </c>
      <c r="E439" t="str">
        <f t="shared" si="33"/>
        <v>411</v>
      </c>
      <c r="F439" t="str">
        <f t="shared" si="34"/>
        <v>Needs Attention</v>
      </c>
      <c r="J439">
        <f t="shared" si="35"/>
        <v>4</v>
      </c>
      <c r="K439">
        <f t="shared" si="36"/>
        <v>1</v>
      </c>
      <c r="L439">
        <f t="shared" si="37"/>
        <v>1</v>
      </c>
    </row>
    <row r="440" spans="1:12" x14ac:dyDescent="0.35">
      <c r="A440">
        <v>5216</v>
      </c>
      <c r="B440" s="3">
        <f>H$6-_xlfn.MAXIFS(Table1[PurchaseDate],Table1[CustomerID],A440)</f>
        <v>12</v>
      </c>
      <c r="C440">
        <f>COUNTIF(Table1[CustomerID],A440)</f>
        <v>1</v>
      </c>
      <c r="D440" s="12">
        <f>SUMIF(Table1[CustomerID],A440,Table1[TransactionAmount])</f>
        <v>823.38</v>
      </c>
      <c r="E440" t="str">
        <f t="shared" si="33"/>
        <v>515</v>
      </c>
      <c r="F440" t="str">
        <f t="shared" si="34"/>
        <v>Potential Loyalists</v>
      </c>
      <c r="J440">
        <f t="shared" si="35"/>
        <v>5</v>
      </c>
      <c r="K440">
        <f t="shared" si="36"/>
        <v>1</v>
      </c>
      <c r="L440">
        <f t="shared" si="37"/>
        <v>5</v>
      </c>
    </row>
    <row r="441" spans="1:12" x14ac:dyDescent="0.35">
      <c r="A441">
        <v>5221</v>
      </c>
      <c r="B441" s="3">
        <f>H$6-_xlfn.MAXIFS(Table1[PurchaseDate],Table1[CustomerID],A441)</f>
        <v>4</v>
      </c>
      <c r="C441">
        <f>COUNTIF(Table1[CustomerID],A441)</f>
        <v>1</v>
      </c>
      <c r="D441" s="12">
        <f>SUMIF(Table1[CustomerID],A441,Table1[TransactionAmount])</f>
        <v>393.3</v>
      </c>
      <c r="E441" t="str">
        <f t="shared" si="33"/>
        <v>512</v>
      </c>
      <c r="F441" t="str">
        <f t="shared" si="34"/>
        <v>Needs Attention</v>
      </c>
      <c r="J441">
        <f t="shared" si="35"/>
        <v>5</v>
      </c>
      <c r="K441">
        <f t="shared" si="36"/>
        <v>1</v>
      </c>
      <c r="L441">
        <f t="shared" si="37"/>
        <v>2</v>
      </c>
    </row>
    <row r="442" spans="1:12" x14ac:dyDescent="0.35">
      <c r="A442">
        <v>5224</v>
      </c>
      <c r="B442" s="3">
        <f>H$6-_xlfn.MAXIFS(Table1[PurchaseDate],Table1[CustomerID],A442)</f>
        <v>56</v>
      </c>
      <c r="C442">
        <f>COUNTIF(Table1[CustomerID],A442)</f>
        <v>1</v>
      </c>
      <c r="D442" s="12">
        <f>SUMIF(Table1[CustomerID],A442,Table1[TransactionAmount])</f>
        <v>388.85</v>
      </c>
      <c r="E442" t="str">
        <f t="shared" si="33"/>
        <v>112</v>
      </c>
      <c r="F442" t="str">
        <f t="shared" si="34"/>
        <v>At Risk</v>
      </c>
      <c r="J442">
        <f t="shared" si="35"/>
        <v>1</v>
      </c>
      <c r="K442">
        <f t="shared" si="36"/>
        <v>1</v>
      </c>
      <c r="L442">
        <f t="shared" si="37"/>
        <v>2</v>
      </c>
    </row>
    <row r="443" spans="1:12" x14ac:dyDescent="0.35">
      <c r="A443">
        <v>5254</v>
      </c>
      <c r="B443" s="3">
        <f>H$6-_xlfn.MAXIFS(Table1[PurchaseDate],Table1[CustomerID],A443)</f>
        <v>27</v>
      </c>
      <c r="C443">
        <f>COUNTIF(Table1[CustomerID],A443)</f>
        <v>2</v>
      </c>
      <c r="D443" s="12">
        <f>SUMIF(Table1[CustomerID],A443,Table1[TransactionAmount])</f>
        <v>1132.47</v>
      </c>
      <c r="E443" t="str">
        <f t="shared" si="33"/>
        <v>335</v>
      </c>
      <c r="F443" t="str">
        <f t="shared" si="34"/>
        <v>Loyal Customers</v>
      </c>
      <c r="J443">
        <f t="shared" si="35"/>
        <v>3</v>
      </c>
      <c r="K443">
        <f t="shared" si="36"/>
        <v>3</v>
      </c>
      <c r="L443">
        <f t="shared" si="37"/>
        <v>5</v>
      </c>
    </row>
    <row r="444" spans="1:12" x14ac:dyDescent="0.35">
      <c r="A444">
        <v>5272</v>
      </c>
      <c r="B444" s="3">
        <f>H$6-_xlfn.MAXIFS(Table1[PurchaseDate],Table1[CustomerID],A444)</f>
        <v>47</v>
      </c>
      <c r="C444">
        <f>COUNTIF(Table1[CustomerID],A444)</f>
        <v>1</v>
      </c>
      <c r="D444" s="12">
        <f>SUMIF(Table1[CustomerID],A444,Table1[TransactionAmount])</f>
        <v>673.03</v>
      </c>
      <c r="E444" t="str">
        <f t="shared" si="33"/>
        <v>214</v>
      </c>
      <c r="F444" t="str">
        <f t="shared" si="34"/>
        <v>Needs Attention</v>
      </c>
      <c r="J444">
        <f t="shared" si="35"/>
        <v>2</v>
      </c>
      <c r="K444">
        <f t="shared" si="36"/>
        <v>1</v>
      </c>
      <c r="L444">
        <f t="shared" si="37"/>
        <v>4</v>
      </c>
    </row>
    <row r="445" spans="1:12" x14ac:dyDescent="0.35">
      <c r="A445">
        <v>5281</v>
      </c>
      <c r="B445" s="3">
        <f>H$6-_xlfn.MAXIFS(Table1[PurchaseDate],Table1[CustomerID],A445)</f>
        <v>6</v>
      </c>
      <c r="C445">
        <f>COUNTIF(Table1[CustomerID],A445)</f>
        <v>1</v>
      </c>
      <c r="D445" s="12">
        <f>SUMIF(Table1[CustomerID],A445,Table1[TransactionAmount])</f>
        <v>540.74</v>
      </c>
      <c r="E445" t="str">
        <f t="shared" si="33"/>
        <v>513</v>
      </c>
      <c r="F445" t="str">
        <f t="shared" si="34"/>
        <v>Potential Loyalists</v>
      </c>
      <c r="J445">
        <f t="shared" si="35"/>
        <v>5</v>
      </c>
      <c r="K445">
        <f t="shared" si="36"/>
        <v>1</v>
      </c>
      <c r="L445">
        <f t="shared" si="37"/>
        <v>3</v>
      </c>
    </row>
    <row r="446" spans="1:12" x14ac:dyDescent="0.35">
      <c r="A446">
        <v>5285</v>
      </c>
      <c r="B446" s="3">
        <f>H$6-_xlfn.MAXIFS(Table1[PurchaseDate],Table1[CustomerID],A446)</f>
        <v>19</v>
      </c>
      <c r="C446">
        <f>COUNTIF(Table1[CustomerID],A446)</f>
        <v>1</v>
      </c>
      <c r="D446" s="12">
        <f>SUMIF(Table1[CustomerID],A446,Table1[TransactionAmount])</f>
        <v>365.96</v>
      </c>
      <c r="E446" t="str">
        <f t="shared" si="33"/>
        <v>412</v>
      </c>
      <c r="F446" t="str">
        <f t="shared" si="34"/>
        <v>Needs Attention</v>
      </c>
      <c r="J446">
        <f t="shared" si="35"/>
        <v>4</v>
      </c>
      <c r="K446">
        <f t="shared" si="36"/>
        <v>1</v>
      </c>
      <c r="L446">
        <f t="shared" si="37"/>
        <v>2</v>
      </c>
    </row>
    <row r="447" spans="1:12" x14ac:dyDescent="0.35">
      <c r="A447">
        <v>5298</v>
      </c>
      <c r="B447" s="3">
        <f>H$6-_xlfn.MAXIFS(Table1[PurchaseDate],Table1[CustomerID],A447)</f>
        <v>18</v>
      </c>
      <c r="C447">
        <f>COUNTIF(Table1[CustomerID],A447)</f>
        <v>1</v>
      </c>
      <c r="D447" s="12">
        <f>SUMIF(Table1[CustomerID],A447,Table1[TransactionAmount])</f>
        <v>864.01</v>
      </c>
      <c r="E447" t="str">
        <f t="shared" si="33"/>
        <v>415</v>
      </c>
      <c r="F447" t="str">
        <f t="shared" si="34"/>
        <v>Potential Loyalists</v>
      </c>
      <c r="J447">
        <f t="shared" si="35"/>
        <v>4</v>
      </c>
      <c r="K447">
        <f t="shared" si="36"/>
        <v>1</v>
      </c>
      <c r="L447">
        <f t="shared" si="37"/>
        <v>5</v>
      </c>
    </row>
    <row r="448" spans="1:12" x14ac:dyDescent="0.35">
      <c r="A448">
        <v>5308</v>
      </c>
      <c r="B448" s="3">
        <f>H$6-_xlfn.MAXIFS(Table1[PurchaseDate],Table1[CustomerID],A448)</f>
        <v>15</v>
      </c>
      <c r="C448">
        <f>COUNTIF(Table1[CustomerID],A448)</f>
        <v>1</v>
      </c>
      <c r="D448" s="12">
        <f>SUMIF(Table1[CustomerID],A448,Table1[TransactionAmount])</f>
        <v>975.3</v>
      </c>
      <c r="E448" t="str">
        <f t="shared" si="33"/>
        <v>415</v>
      </c>
      <c r="F448" t="str">
        <f t="shared" si="34"/>
        <v>Potential Loyalists</v>
      </c>
      <c r="J448">
        <f t="shared" si="35"/>
        <v>4</v>
      </c>
      <c r="K448">
        <f t="shared" si="36"/>
        <v>1</v>
      </c>
      <c r="L448">
        <f t="shared" si="37"/>
        <v>5</v>
      </c>
    </row>
    <row r="449" spans="1:12" x14ac:dyDescent="0.35">
      <c r="A449">
        <v>5331</v>
      </c>
      <c r="B449" s="3">
        <f>H$6-_xlfn.MAXIFS(Table1[PurchaseDate],Table1[CustomerID],A449)</f>
        <v>37</v>
      </c>
      <c r="C449">
        <f>COUNTIF(Table1[CustomerID],A449)</f>
        <v>1</v>
      </c>
      <c r="D449" s="12">
        <f>SUMIF(Table1[CustomerID],A449,Table1[TransactionAmount])</f>
        <v>241.68</v>
      </c>
      <c r="E449" t="str">
        <f t="shared" si="33"/>
        <v>312</v>
      </c>
      <c r="F449" t="str">
        <f t="shared" si="34"/>
        <v>Needs Attention</v>
      </c>
      <c r="J449">
        <f t="shared" si="35"/>
        <v>3</v>
      </c>
      <c r="K449">
        <f t="shared" si="36"/>
        <v>1</v>
      </c>
      <c r="L449">
        <f t="shared" si="37"/>
        <v>2</v>
      </c>
    </row>
    <row r="450" spans="1:12" x14ac:dyDescent="0.35">
      <c r="A450">
        <v>5334</v>
      </c>
      <c r="B450" s="3">
        <f>H$6-_xlfn.MAXIFS(Table1[PurchaseDate],Table1[CustomerID],A450)</f>
        <v>10</v>
      </c>
      <c r="C450">
        <f>COUNTIF(Table1[CustomerID],A450)</f>
        <v>1</v>
      </c>
      <c r="D450" s="12">
        <f>SUMIF(Table1[CustomerID],A450,Table1[TransactionAmount])</f>
        <v>793.34</v>
      </c>
      <c r="E450" t="str">
        <f t="shared" si="33"/>
        <v>514</v>
      </c>
      <c r="F450" t="str">
        <f t="shared" si="34"/>
        <v>Potential Loyalists</v>
      </c>
      <c r="J450">
        <f t="shared" si="35"/>
        <v>5</v>
      </c>
      <c r="K450">
        <f t="shared" si="36"/>
        <v>1</v>
      </c>
      <c r="L450">
        <f t="shared" si="37"/>
        <v>4</v>
      </c>
    </row>
    <row r="451" spans="1:12" x14ac:dyDescent="0.35">
      <c r="A451">
        <v>5342</v>
      </c>
      <c r="B451" s="3">
        <f>H$6-_xlfn.MAXIFS(Table1[PurchaseDate],Table1[CustomerID],A451)</f>
        <v>39</v>
      </c>
      <c r="C451">
        <f>COUNTIF(Table1[CustomerID],A451)</f>
        <v>1</v>
      </c>
      <c r="D451" s="12">
        <f>SUMIF(Table1[CustomerID],A451,Table1[TransactionAmount])</f>
        <v>627.03</v>
      </c>
      <c r="E451" t="str">
        <f t="shared" si="33"/>
        <v>213</v>
      </c>
      <c r="F451" t="str">
        <f t="shared" si="34"/>
        <v>Needs Attention</v>
      </c>
      <c r="J451">
        <f t="shared" si="35"/>
        <v>2</v>
      </c>
      <c r="K451">
        <f t="shared" si="36"/>
        <v>1</v>
      </c>
      <c r="L451">
        <f t="shared" si="37"/>
        <v>3</v>
      </c>
    </row>
    <row r="452" spans="1:12" x14ac:dyDescent="0.35">
      <c r="A452">
        <v>5347</v>
      </c>
      <c r="B452" s="3">
        <f>H$6-_xlfn.MAXIFS(Table1[PurchaseDate],Table1[CustomerID],A452)</f>
        <v>57</v>
      </c>
      <c r="C452">
        <f>COUNTIF(Table1[CustomerID],A452)</f>
        <v>1</v>
      </c>
      <c r="D452" s="12">
        <f>SUMIF(Table1[CustomerID],A452,Table1[TransactionAmount])</f>
        <v>135.49</v>
      </c>
      <c r="E452" t="str">
        <f t="shared" ref="E452:E515" si="38">J452&amp;K452&amp;L452</f>
        <v>111</v>
      </c>
      <c r="F452" t="str">
        <f t="shared" ref="F452:F515" si="39">IF(AND(J452&gt;=4,K452&gt;=3,L452&gt;=4),"Champions",IF(AND(J452&gt;=3,K452&gt;=2,L452&gt;=3),"Loyal Customers",IF(AND(J452&gt;=3,L452&gt;=3),"Potential Loyalists",IF(AND(J452&lt;=2,L452&lt;=2),"At Risk","Needs Attention"))))</f>
        <v>At Risk</v>
      </c>
      <c r="J452">
        <f t="shared" ref="J452:J515" si="40">ROUNDUP((COUNT($B$3:$B$948)-_xlfn.RANK.EQ(B452,$B$3:$B$948,1)+1)/COUNT($B$3:$B$948)*5,0)</f>
        <v>1</v>
      </c>
      <c r="K452">
        <f t="shared" ref="K452:K515" si="41">IF(C452=1,1,IF(C452=2,3,IF(C452=3,4,5)))</f>
        <v>1</v>
      </c>
      <c r="L452">
        <f t="shared" ref="L452:L515" si="42">IF(D452&gt;=_xlfn.PERCENTILE.INC($D$3:$D$948,0.8),5,IF(D452&gt;=_xlfn.PERCENTILE.INC($D$3:$D$948,0.6),4,IF(D452&gt;=_xlfn.PERCENTILE.INC($D$3:$D$948,0.4),3,IF(D452&gt;=_xlfn.PERCENTILE.INC($D$3:$D$948,0.2),2,1))))</f>
        <v>1</v>
      </c>
    </row>
    <row r="453" spans="1:12" x14ac:dyDescent="0.35">
      <c r="A453">
        <v>5349</v>
      </c>
      <c r="B453" s="3">
        <f>H$6-_xlfn.MAXIFS(Table1[PurchaseDate],Table1[CustomerID],A453)</f>
        <v>58</v>
      </c>
      <c r="C453">
        <f>COUNTIF(Table1[CustomerID],A453)</f>
        <v>1</v>
      </c>
      <c r="D453" s="12">
        <f>SUMIF(Table1[CustomerID],A453,Table1[TransactionAmount])</f>
        <v>117.32</v>
      </c>
      <c r="E453" t="str">
        <f t="shared" si="38"/>
        <v>111</v>
      </c>
      <c r="F453" t="str">
        <f t="shared" si="39"/>
        <v>At Risk</v>
      </c>
      <c r="J453">
        <f t="shared" si="40"/>
        <v>1</v>
      </c>
      <c r="K453">
        <f t="shared" si="41"/>
        <v>1</v>
      </c>
      <c r="L453">
        <f t="shared" si="42"/>
        <v>1</v>
      </c>
    </row>
    <row r="454" spans="1:12" x14ac:dyDescent="0.35">
      <c r="A454">
        <v>5350</v>
      </c>
      <c r="B454" s="3">
        <f>H$6-_xlfn.MAXIFS(Table1[PurchaseDate],Table1[CustomerID],A454)</f>
        <v>19</v>
      </c>
      <c r="C454">
        <f>COUNTIF(Table1[CustomerID],A454)</f>
        <v>1</v>
      </c>
      <c r="D454" s="12">
        <f>SUMIF(Table1[CustomerID],A454,Table1[TransactionAmount])</f>
        <v>785.07</v>
      </c>
      <c r="E454" t="str">
        <f t="shared" si="38"/>
        <v>414</v>
      </c>
      <c r="F454" t="str">
        <f t="shared" si="39"/>
        <v>Potential Loyalists</v>
      </c>
      <c r="J454">
        <f t="shared" si="40"/>
        <v>4</v>
      </c>
      <c r="K454">
        <f t="shared" si="41"/>
        <v>1</v>
      </c>
      <c r="L454">
        <f t="shared" si="42"/>
        <v>4</v>
      </c>
    </row>
    <row r="455" spans="1:12" x14ac:dyDescent="0.35">
      <c r="A455">
        <v>5371</v>
      </c>
      <c r="B455" s="3">
        <f>H$6-_xlfn.MAXIFS(Table1[PurchaseDate],Table1[CustomerID],A455)</f>
        <v>50</v>
      </c>
      <c r="C455">
        <f>COUNTIF(Table1[CustomerID],A455)</f>
        <v>1</v>
      </c>
      <c r="D455" s="12">
        <f>SUMIF(Table1[CustomerID],A455,Table1[TransactionAmount])</f>
        <v>789.5</v>
      </c>
      <c r="E455" t="str">
        <f t="shared" si="38"/>
        <v>114</v>
      </c>
      <c r="F455" t="str">
        <f t="shared" si="39"/>
        <v>Needs Attention</v>
      </c>
      <c r="J455">
        <f t="shared" si="40"/>
        <v>1</v>
      </c>
      <c r="K455">
        <f t="shared" si="41"/>
        <v>1</v>
      </c>
      <c r="L455">
        <f t="shared" si="42"/>
        <v>4</v>
      </c>
    </row>
    <row r="456" spans="1:12" x14ac:dyDescent="0.35">
      <c r="A456">
        <v>5382</v>
      </c>
      <c r="B456" s="3">
        <f>H$6-_xlfn.MAXIFS(Table1[PurchaseDate],Table1[CustomerID],A456)</f>
        <v>22</v>
      </c>
      <c r="C456">
        <f>COUNTIF(Table1[CustomerID],A456)</f>
        <v>1</v>
      </c>
      <c r="D456" s="12">
        <f>SUMIF(Table1[CustomerID],A456,Table1[TransactionAmount])</f>
        <v>648.20000000000005</v>
      </c>
      <c r="E456" t="str">
        <f t="shared" si="38"/>
        <v>414</v>
      </c>
      <c r="F456" t="str">
        <f t="shared" si="39"/>
        <v>Potential Loyalists</v>
      </c>
      <c r="J456">
        <f t="shared" si="40"/>
        <v>4</v>
      </c>
      <c r="K456">
        <f t="shared" si="41"/>
        <v>1</v>
      </c>
      <c r="L456">
        <f t="shared" si="42"/>
        <v>4</v>
      </c>
    </row>
    <row r="457" spans="1:12" x14ac:dyDescent="0.35">
      <c r="A457">
        <v>5438</v>
      </c>
      <c r="B457" s="3">
        <f>H$6-_xlfn.MAXIFS(Table1[PurchaseDate],Table1[CustomerID],A457)</f>
        <v>41</v>
      </c>
      <c r="C457">
        <f>COUNTIF(Table1[CustomerID],A457)</f>
        <v>1</v>
      </c>
      <c r="D457" s="12">
        <f>SUMIF(Table1[CustomerID],A457,Table1[TransactionAmount])</f>
        <v>258.89</v>
      </c>
      <c r="E457" t="str">
        <f t="shared" si="38"/>
        <v>212</v>
      </c>
      <c r="F457" t="str">
        <f t="shared" si="39"/>
        <v>At Risk</v>
      </c>
      <c r="J457">
        <f t="shared" si="40"/>
        <v>2</v>
      </c>
      <c r="K457">
        <f t="shared" si="41"/>
        <v>1</v>
      </c>
      <c r="L457">
        <f t="shared" si="42"/>
        <v>2</v>
      </c>
    </row>
    <row r="458" spans="1:12" x14ac:dyDescent="0.35">
      <c r="A458">
        <v>5444</v>
      </c>
      <c r="B458" s="3">
        <f>H$6-_xlfn.MAXIFS(Table1[PurchaseDate],Table1[CustomerID],A458)</f>
        <v>8</v>
      </c>
      <c r="C458">
        <f>COUNTIF(Table1[CustomerID],A458)</f>
        <v>1</v>
      </c>
      <c r="D458" s="12">
        <f>SUMIF(Table1[CustomerID],A458,Table1[TransactionAmount])</f>
        <v>87.11</v>
      </c>
      <c r="E458" t="str">
        <f t="shared" si="38"/>
        <v>511</v>
      </c>
      <c r="F458" t="str">
        <f t="shared" si="39"/>
        <v>Needs Attention</v>
      </c>
      <c r="J458">
        <f t="shared" si="40"/>
        <v>5</v>
      </c>
      <c r="K458">
        <f t="shared" si="41"/>
        <v>1</v>
      </c>
      <c r="L458">
        <f t="shared" si="42"/>
        <v>1</v>
      </c>
    </row>
    <row r="459" spans="1:12" x14ac:dyDescent="0.35">
      <c r="A459">
        <v>5450</v>
      </c>
      <c r="B459" s="3">
        <f>H$6-_xlfn.MAXIFS(Table1[PurchaseDate],Table1[CustomerID],A459)</f>
        <v>52</v>
      </c>
      <c r="C459">
        <f>COUNTIF(Table1[CustomerID],A459)</f>
        <v>1</v>
      </c>
      <c r="D459" s="12">
        <f>SUMIF(Table1[CustomerID],A459,Table1[TransactionAmount])</f>
        <v>118.13</v>
      </c>
      <c r="E459" t="str">
        <f t="shared" si="38"/>
        <v>111</v>
      </c>
      <c r="F459" t="str">
        <f t="shared" si="39"/>
        <v>At Risk</v>
      </c>
      <c r="J459">
        <f t="shared" si="40"/>
        <v>1</v>
      </c>
      <c r="K459">
        <f t="shared" si="41"/>
        <v>1</v>
      </c>
      <c r="L459">
        <f t="shared" si="42"/>
        <v>1</v>
      </c>
    </row>
    <row r="460" spans="1:12" x14ac:dyDescent="0.35">
      <c r="A460">
        <v>5460</v>
      </c>
      <c r="B460" s="3">
        <f>H$6-_xlfn.MAXIFS(Table1[PurchaseDate],Table1[CustomerID],A460)</f>
        <v>28</v>
      </c>
      <c r="C460">
        <f>COUNTIF(Table1[CustomerID],A460)</f>
        <v>1</v>
      </c>
      <c r="D460" s="12">
        <f>SUMIF(Table1[CustomerID],A460,Table1[TransactionAmount])</f>
        <v>544.58000000000004</v>
      </c>
      <c r="E460" t="str">
        <f t="shared" si="38"/>
        <v>313</v>
      </c>
      <c r="F460" t="str">
        <f t="shared" si="39"/>
        <v>Potential Loyalists</v>
      </c>
      <c r="J460">
        <f t="shared" si="40"/>
        <v>3</v>
      </c>
      <c r="K460">
        <f t="shared" si="41"/>
        <v>1</v>
      </c>
      <c r="L460">
        <f t="shared" si="42"/>
        <v>3</v>
      </c>
    </row>
    <row r="461" spans="1:12" x14ac:dyDescent="0.35">
      <c r="A461">
        <v>5469</v>
      </c>
      <c r="B461" s="3">
        <f>H$6-_xlfn.MAXIFS(Table1[PurchaseDate],Table1[CustomerID],A461)</f>
        <v>32</v>
      </c>
      <c r="C461">
        <f>COUNTIF(Table1[CustomerID],A461)</f>
        <v>1</v>
      </c>
      <c r="D461" s="12">
        <f>SUMIF(Table1[CustomerID],A461,Table1[TransactionAmount])</f>
        <v>906.25</v>
      </c>
      <c r="E461" t="str">
        <f t="shared" si="38"/>
        <v>315</v>
      </c>
      <c r="F461" t="str">
        <f t="shared" si="39"/>
        <v>Potential Loyalists</v>
      </c>
      <c r="J461">
        <f t="shared" si="40"/>
        <v>3</v>
      </c>
      <c r="K461">
        <f t="shared" si="41"/>
        <v>1</v>
      </c>
      <c r="L461">
        <f t="shared" si="42"/>
        <v>5</v>
      </c>
    </row>
    <row r="462" spans="1:12" x14ac:dyDescent="0.35">
      <c r="A462">
        <v>5470</v>
      </c>
      <c r="B462" s="3">
        <f>H$6-_xlfn.MAXIFS(Table1[PurchaseDate],Table1[CustomerID],A462)</f>
        <v>48</v>
      </c>
      <c r="C462">
        <f>COUNTIF(Table1[CustomerID],A462)</f>
        <v>1</v>
      </c>
      <c r="D462" s="12">
        <f>SUMIF(Table1[CustomerID],A462,Table1[TransactionAmount])</f>
        <v>810.73</v>
      </c>
      <c r="E462" t="str">
        <f t="shared" si="38"/>
        <v>114</v>
      </c>
      <c r="F462" t="str">
        <f t="shared" si="39"/>
        <v>Needs Attention</v>
      </c>
      <c r="J462">
        <f t="shared" si="40"/>
        <v>1</v>
      </c>
      <c r="K462">
        <f t="shared" si="41"/>
        <v>1</v>
      </c>
      <c r="L462">
        <f t="shared" si="42"/>
        <v>4</v>
      </c>
    </row>
    <row r="463" spans="1:12" x14ac:dyDescent="0.35">
      <c r="A463">
        <v>5471</v>
      </c>
      <c r="B463" s="3">
        <f>H$6-_xlfn.MAXIFS(Table1[PurchaseDate],Table1[CustomerID],A463)</f>
        <v>33</v>
      </c>
      <c r="C463">
        <f>COUNTIF(Table1[CustomerID],A463)</f>
        <v>1</v>
      </c>
      <c r="D463" s="12">
        <f>SUMIF(Table1[CustomerID],A463,Table1[TransactionAmount])</f>
        <v>490.79</v>
      </c>
      <c r="E463" t="str">
        <f t="shared" si="38"/>
        <v>313</v>
      </c>
      <c r="F463" t="str">
        <f t="shared" si="39"/>
        <v>Potential Loyalists</v>
      </c>
      <c r="J463">
        <f t="shared" si="40"/>
        <v>3</v>
      </c>
      <c r="K463">
        <f t="shared" si="41"/>
        <v>1</v>
      </c>
      <c r="L463">
        <f t="shared" si="42"/>
        <v>3</v>
      </c>
    </row>
    <row r="464" spans="1:12" x14ac:dyDescent="0.35">
      <c r="A464">
        <v>5476</v>
      </c>
      <c r="B464" s="3">
        <f>H$6-_xlfn.MAXIFS(Table1[PurchaseDate],Table1[CustomerID],A464)</f>
        <v>53</v>
      </c>
      <c r="C464">
        <f>COUNTIF(Table1[CustomerID],A464)</f>
        <v>1</v>
      </c>
      <c r="D464" s="12">
        <f>SUMIF(Table1[CustomerID],A464,Table1[TransactionAmount])</f>
        <v>801.35</v>
      </c>
      <c r="E464" t="str">
        <f t="shared" si="38"/>
        <v>114</v>
      </c>
      <c r="F464" t="str">
        <f t="shared" si="39"/>
        <v>Needs Attention</v>
      </c>
      <c r="J464">
        <f t="shared" si="40"/>
        <v>1</v>
      </c>
      <c r="K464">
        <f t="shared" si="41"/>
        <v>1</v>
      </c>
      <c r="L464">
        <f t="shared" si="42"/>
        <v>4</v>
      </c>
    </row>
    <row r="465" spans="1:12" x14ac:dyDescent="0.35">
      <c r="A465">
        <v>5477</v>
      </c>
      <c r="B465" s="3">
        <f>H$6-_xlfn.MAXIFS(Table1[PurchaseDate],Table1[CustomerID],A465)</f>
        <v>16</v>
      </c>
      <c r="C465">
        <f>COUNTIF(Table1[CustomerID],A465)</f>
        <v>1</v>
      </c>
      <c r="D465" s="12">
        <f>SUMIF(Table1[CustomerID],A465,Table1[TransactionAmount])</f>
        <v>764.79</v>
      </c>
      <c r="E465" t="str">
        <f t="shared" si="38"/>
        <v>414</v>
      </c>
      <c r="F465" t="str">
        <f t="shared" si="39"/>
        <v>Potential Loyalists</v>
      </c>
      <c r="J465">
        <f t="shared" si="40"/>
        <v>4</v>
      </c>
      <c r="K465">
        <f t="shared" si="41"/>
        <v>1</v>
      </c>
      <c r="L465">
        <f t="shared" si="42"/>
        <v>4</v>
      </c>
    </row>
    <row r="466" spans="1:12" x14ac:dyDescent="0.35">
      <c r="A466">
        <v>5488</v>
      </c>
      <c r="B466" s="3">
        <f>H$6-_xlfn.MAXIFS(Table1[PurchaseDate],Table1[CustomerID],A466)</f>
        <v>37</v>
      </c>
      <c r="C466">
        <f>COUNTIF(Table1[CustomerID],A466)</f>
        <v>1</v>
      </c>
      <c r="D466" s="12">
        <f>SUMIF(Table1[CustomerID],A466,Table1[TransactionAmount])</f>
        <v>825.27</v>
      </c>
      <c r="E466" t="str">
        <f t="shared" si="38"/>
        <v>315</v>
      </c>
      <c r="F466" t="str">
        <f t="shared" si="39"/>
        <v>Potential Loyalists</v>
      </c>
      <c r="J466">
        <f t="shared" si="40"/>
        <v>3</v>
      </c>
      <c r="K466">
        <f t="shared" si="41"/>
        <v>1</v>
      </c>
      <c r="L466">
        <f t="shared" si="42"/>
        <v>5</v>
      </c>
    </row>
    <row r="467" spans="1:12" x14ac:dyDescent="0.35">
      <c r="A467">
        <v>5494</v>
      </c>
      <c r="B467" s="3">
        <f>H$6-_xlfn.MAXIFS(Table1[PurchaseDate],Table1[CustomerID],A467)</f>
        <v>58</v>
      </c>
      <c r="C467">
        <f>COUNTIF(Table1[CustomerID],A467)</f>
        <v>1</v>
      </c>
      <c r="D467" s="12">
        <f>SUMIF(Table1[CustomerID],A467,Table1[TransactionAmount])</f>
        <v>974.55</v>
      </c>
      <c r="E467" t="str">
        <f t="shared" si="38"/>
        <v>115</v>
      </c>
      <c r="F467" t="str">
        <f t="shared" si="39"/>
        <v>Needs Attention</v>
      </c>
      <c r="J467">
        <f t="shared" si="40"/>
        <v>1</v>
      </c>
      <c r="K467">
        <f t="shared" si="41"/>
        <v>1</v>
      </c>
      <c r="L467">
        <f t="shared" si="42"/>
        <v>5</v>
      </c>
    </row>
    <row r="468" spans="1:12" x14ac:dyDescent="0.35">
      <c r="A468">
        <v>5499</v>
      </c>
      <c r="B468" s="3">
        <f>H$6-_xlfn.MAXIFS(Table1[PurchaseDate],Table1[CustomerID],A468)</f>
        <v>32</v>
      </c>
      <c r="C468">
        <f>COUNTIF(Table1[CustomerID],A468)</f>
        <v>1</v>
      </c>
      <c r="D468" s="12">
        <f>SUMIF(Table1[CustomerID],A468,Table1[TransactionAmount])</f>
        <v>86.71</v>
      </c>
      <c r="E468" t="str">
        <f t="shared" si="38"/>
        <v>311</v>
      </c>
      <c r="F468" t="str">
        <f t="shared" si="39"/>
        <v>Needs Attention</v>
      </c>
      <c r="J468">
        <f t="shared" si="40"/>
        <v>3</v>
      </c>
      <c r="K468">
        <f t="shared" si="41"/>
        <v>1</v>
      </c>
      <c r="L468">
        <f t="shared" si="42"/>
        <v>1</v>
      </c>
    </row>
    <row r="469" spans="1:12" x14ac:dyDescent="0.35">
      <c r="A469">
        <v>5511</v>
      </c>
      <c r="B469" s="3">
        <f>H$6-_xlfn.MAXIFS(Table1[PurchaseDate],Table1[CustomerID],A469)</f>
        <v>33</v>
      </c>
      <c r="C469">
        <f>COUNTIF(Table1[CustomerID],A469)</f>
        <v>1</v>
      </c>
      <c r="D469" s="12">
        <f>SUMIF(Table1[CustomerID],A469,Table1[TransactionAmount])</f>
        <v>896.53</v>
      </c>
      <c r="E469" t="str">
        <f t="shared" si="38"/>
        <v>315</v>
      </c>
      <c r="F469" t="str">
        <f t="shared" si="39"/>
        <v>Potential Loyalists</v>
      </c>
      <c r="J469">
        <f t="shared" si="40"/>
        <v>3</v>
      </c>
      <c r="K469">
        <f t="shared" si="41"/>
        <v>1</v>
      </c>
      <c r="L469">
        <f t="shared" si="42"/>
        <v>5</v>
      </c>
    </row>
    <row r="470" spans="1:12" x14ac:dyDescent="0.35">
      <c r="A470">
        <v>5512</v>
      </c>
      <c r="B470" s="3">
        <f>H$6-_xlfn.MAXIFS(Table1[PurchaseDate],Table1[CustomerID],A470)</f>
        <v>35</v>
      </c>
      <c r="C470">
        <f>COUNTIF(Table1[CustomerID],A470)</f>
        <v>1</v>
      </c>
      <c r="D470" s="12">
        <f>SUMIF(Table1[CustomerID],A470,Table1[TransactionAmount])</f>
        <v>152.41</v>
      </c>
      <c r="E470" t="str">
        <f t="shared" si="38"/>
        <v>311</v>
      </c>
      <c r="F470" t="str">
        <f t="shared" si="39"/>
        <v>Needs Attention</v>
      </c>
      <c r="J470">
        <f t="shared" si="40"/>
        <v>3</v>
      </c>
      <c r="K470">
        <f t="shared" si="41"/>
        <v>1</v>
      </c>
      <c r="L470">
        <f t="shared" si="42"/>
        <v>1</v>
      </c>
    </row>
    <row r="471" spans="1:12" x14ac:dyDescent="0.35">
      <c r="A471">
        <v>5520</v>
      </c>
      <c r="B471" s="3">
        <f>H$6-_xlfn.MAXIFS(Table1[PurchaseDate],Table1[CustomerID],A471)</f>
        <v>11</v>
      </c>
      <c r="C471">
        <f>COUNTIF(Table1[CustomerID],A471)</f>
        <v>1</v>
      </c>
      <c r="D471" s="12">
        <f>SUMIF(Table1[CustomerID],A471,Table1[TransactionAmount])</f>
        <v>405.44</v>
      </c>
      <c r="E471" t="str">
        <f t="shared" si="38"/>
        <v>512</v>
      </c>
      <c r="F471" t="str">
        <f t="shared" si="39"/>
        <v>Needs Attention</v>
      </c>
      <c r="J471">
        <f t="shared" si="40"/>
        <v>5</v>
      </c>
      <c r="K471">
        <f t="shared" si="41"/>
        <v>1</v>
      </c>
      <c r="L471">
        <f t="shared" si="42"/>
        <v>2</v>
      </c>
    </row>
    <row r="472" spans="1:12" x14ac:dyDescent="0.35">
      <c r="A472">
        <v>5521</v>
      </c>
      <c r="B472" s="3">
        <f>H$6-_xlfn.MAXIFS(Table1[PurchaseDate],Table1[CustomerID],A472)</f>
        <v>34</v>
      </c>
      <c r="C472">
        <f>COUNTIF(Table1[CustomerID],A472)</f>
        <v>1</v>
      </c>
      <c r="D472" s="12">
        <f>SUMIF(Table1[CustomerID],A472,Table1[TransactionAmount])</f>
        <v>306.75</v>
      </c>
      <c r="E472" t="str">
        <f t="shared" si="38"/>
        <v>312</v>
      </c>
      <c r="F472" t="str">
        <f t="shared" si="39"/>
        <v>Needs Attention</v>
      </c>
      <c r="J472">
        <f t="shared" si="40"/>
        <v>3</v>
      </c>
      <c r="K472">
        <f t="shared" si="41"/>
        <v>1</v>
      </c>
      <c r="L472">
        <f t="shared" si="42"/>
        <v>2</v>
      </c>
    </row>
    <row r="473" spans="1:12" x14ac:dyDescent="0.35">
      <c r="A473">
        <v>5533</v>
      </c>
      <c r="B473" s="3">
        <f>H$6-_xlfn.MAXIFS(Table1[PurchaseDate],Table1[CustomerID],A473)</f>
        <v>58</v>
      </c>
      <c r="C473">
        <f>COUNTIF(Table1[CustomerID],A473)</f>
        <v>1</v>
      </c>
      <c r="D473" s="12">
        <f>SUMIF(Table1[CustomerID],A473,Table1[TransactionAmount])</f>
        <v>13.51</v>
      </c>
      <c r="E473" t="str">
        <f t="shared" si="38"/>
        <v>111</v>
      </c>
      <c r="F473" t="str">
        <f t="shared" si="39"/>
        <v>At Risk</v>
      </c>
      <c r="J473">
        <f t="shared" si="40"/>
        <v>1</v>
      </c>
      <c r="K473">
        <f t="shared" si="41"/>
        <v>1</v>
      </c>
      <c r="L473">
        <f t="shared" si="42"/>
        <v>1</v>
      </c>
    </row>
    <row r="474" spans="1:12" x14ac:dyDescent="0.35">
      <c r="A474">
        <v>5543</v>
      </c>
      <c r="B474" s="3">
        <f>H$6-_xlfn.MAXIFS(Table1[PurchaseDate],Table1[CustomerID],A474)</f>
        <v>11</v>
      </c>
      <c r="C474">
        <f>COUNTIF(Table1[CustomerID],A474)</f>
        <v>1</v>
      </c>
      <c r="D474" s="12">
        <f>SUMIF(Table1[CustomerID],A474,Table1[TransactionAmount])</f>
        <v>779.9</v>
      </c>
      <c r="E474" t="str">
        <f t="shared" si="38"/>
        <v>514</v>
      </c>
      <c r="F474" t="str">
        <f t="shared" si="39"/>
        <v>Potential Loyalists</v>
      </c>
      <c r="J474">
        <f t="shared" si="40"/>
        <v>5</v>
      </c>
      <c r="K474">
        <f t="shared" si="41"/>
        <v>1</v>
      </c>
      <c r="L474">
        <f t="shared" si="42"/>
        <v>4</v>
      </c>
    </row>
    <row r="475" spans="1:12" x14ac:dyDescent="0.35">
      <c r="A475">
        <v>5557</v>
      </c>
      <c r="B475" s="3">
        <f>H$6-_xlfn.MAXIFS(Table1[PurchaseDate],Table1[CustomerID],A475)</f>
        <v>9</v>
      </c>
      <c r="C475">
        <f>COUNTIF(Table1[CustomerID],A475)</f>
        <v>3</v>
      </c>
      <c r="D475" s="12">
        <f>SUMIF(Table1[CustomerID],A475,Table1[TransactionAmount])</f>
        <v>2379.4500000000003</v>
      </c>
      <c r="E475" t="str">
        <f t="shared" si="38"/>
        <v>545</v>
      </c>
      <c r="F475" t="str">
        <f t="shared" si="39"/>
        <v>Champions</v>
      </c>
      <c r="J475">
        <f t="shared" si="40"/>
        <v>5</v>
      </c>
      <c r="K475">
        <f t="shared" si="41"/>
        <v>4</v>
      </c>
      <c r="L475">
        <f t="shared" si="42"/>
        <v>5</v>
      </c>
    </row>
    <row r="476" spans="1:12" x14ac:dyDescent="0.35">
      <c r="A476">
        <v>5558</v>
      </c>
      <c r="B476" s="3">
        <f>H$6-_xlfn.MAXIFS(Table1[PurchaseDate],Table1[CustomerID],A476)</f>
        <v>12</v>
      </c>
      <c r="C476">
        <f>COUNTIF(Table1[CustomerID],A476)</f>
        <v>1</v>
      </c>
      <c r="D476" s="12">
        <f>SUMIF(Table1[CustomerID],A476,Table1[TransactionAmount])</f>
        <v>951.69</v>
      </c>
      <c r="E476" t="str">
        <f t="shared" si="38"/>
        <v>515</v>
      </c>
      <c r="F476" t="str">
        <f t="shared" si="39"/>
        <v>Potential Loyalists</v>
      </c>
      <c r="J476">
        <f t="shared" si="40"/>
        <v>5</v>
      </c>
      <c r="K476">
        <f t="shared" si="41"/>
        <v>1</v>
      </c>
      <c r="L476">
        <f t="shared" si="42"/>
        <v>5</v>
      </c>
    </row>
    <row r="477" spans="1:12" x14ac:dyDescent="0.35">
      <c r="A477">
        <v>5564</v>
      </c>
      <c r="B477" s="3">
        <f>H$6-_xlfn.MAXIFS(Table1[PurchaseDate],Table1[CustomerID],A477)</f>
        <v>5</v>
      </c>
      <c r="C477">
        <f>COUNTIF(Table1[CustomerID],A477)</f>
        <v>1</v>
      </c>
      <c r="D477" s="12">
        <f>SUMIF(Table1[CustomerID],A477,Table1[TransactionAmount])</f>
        <v>78.73</v>
      </c>
      <c r="E477" t="str">
        <f t="shared" si="38"/>
        <v>511</v>
      </c>
      <c r="F477" t="str">
        <f t="shared" si="39"/>
        <v>Needs Attention</v>
      </c>
      <c r="J477">
        <f t="shared" si="40"/>
        <v>5</v>
      </c>
      <c r="K477">
        <f t="shared" si="41"/>
        <v>1</v>
      </c>
      <c r="L477">
        <f t="shared" si="42"/>
        <v>1</v>
      </c>
    </row>
    <row r="478" spans="1:12" x14ac:dyDescent="0.35">
      <c r="A478">
        <v>5582</v>
      </c>
      <c r="B478" s="3">
        <f>H$6-_xlfn.MAXIFS(Table1[PurchaseDate],Table1[CustomerID],A478)</f>
        <v>8</v>
      </c>
      <c r="C478">
        <f>COUNTIF(Table1[CustomerID],A478)</f>
        <v>1</v>
      </c>
      <c r="D478" s="12">
        <f>SUMIF(Table1[CustomerID],A478,Table1[TransactionAmount])</f>
        <v>989.2</v>
      </c>
      <c r="E478" t="str">
        <f t="shared" si="38"/>
        <v>515</v>
      </c>
      <c r="F478" t="str">
        <f t="shared" si="39"/>
        <v>Potential Loyalists</v>
      </c>
      <c r="J478">
        <f t="shared" si="40"/>
        <v>5</v>
      </c>
      <c r="K478">
        <f t="shared" si="41"/>
        <v>1</v>
      </c>
      <c r="L478">
        <f t="shared" si="42"/>
        <v>5</v>
      </c>
    </row>
    <row r="479" spans="1:12" x14ac:dyDescent="0.35">
      <c r="A479">
        <v>5583</v>
      </c>
      <c r="B479" s="3">
        <f>H$6-_xlfn.MAXIFS(Table1[PurchaseDate],Table1[CustomerID],A479)</f>
        <v>36</v>
      </c>
      <c r="C479">
        <f>COUNTIF(Table1[CustomerID],A479)</f>
        <v>2</v>
      </c>
      <c r="D479" s="12">
        <f>SUMIF(Table1[CustomerID],A479,Table1[TransactionAmount])</f>
        <v>839.24</v>
      </c>
      <c r="E479" t="str">
        <f t="shared" si="38"/>
        <v>335</v>
      </c>
      <c r="F479" t="str">
        <f t="shared" si="39"/>
        <v>Loyal Customers</v>
      </c>
      <c r="J479">
        <f t="shared" si="40"/>
        <v>3</v>
      </c>
      <c r="K479">
        <f t="shared" si="41"/>
        <v>3</v>
      </c>
      <c r="L479">
        <f t="shared" si="42"/>
        <v>5</v>
      </c>
    </row>
    <row r="480" spans="1:12" x14ac:dyDescent="0.35">
      <c r="A480">
        <v>5622</v>
      </c>
      <c r="B480" s="3">
        <f>H$6-_xlfn.MAXIFS(Table1[PurchaseDate],Table1[CustomerID],A480)</f>
        <v>43</v>
      </c>
      <c r="C480">
        <f>COUNTIF(Table1[CustomerID],A480)</f>
        <v>1</v>
      </c>
      <c r="D480" s="12">
        <f>SUMIF(Table1[CustomerID],A480,Table1[TransactionAmount])</f>
        <v>133.79</v>
      </c>
      <c r="E480" t="str">
        <f t="shared" si="38"/>
        <v>211</v>
      </c>
      <c r="F480" t="str">
        <f t="shared" si="39"/>
        <v>At Risk</v>
      </c>
      <c r="J480">
        <f t="shared" si="40"/>
        <v>2</v>
      </c>
      <c r="K480">
        <f t="shared" si="41"/>
        <v>1</v>
      </c>
      <c r="L480">
        <f t="shared" si="42"/>
        <v>1</v>
      </c>
    </row>
    <row r="481" spans="1:12" x14ac:dyDescent="0.35">
      <c r="A481">
        <v>5634</v>
      </c>
      <c r="B481" s="3">
        <f>H$6-_xlfn.MAXIFS(Table1[PurchaseDate],Table1[CustomerID],A481)</f>
        <v>14</v>
      </c>
      <c r="C481">
        <f>COUNTIF(Table1[CustomerID],A481)</f>
        <v>2</v>
      </c>
      <c r="D481" s="12">
        <f>SUMIF(Table1[CustomerID],A481,Table1[TransactionAmount])</f>
        <v>720.25</v>
      </c>
      <c r="E481" t="str">
        <f t="shared" si="38"/>
        <v>434</v>
      </c>
      <c r="F481" t="str">
        <f t="shared" si="39"/>
        <v>Champions</v>
      </c>
      <c r="J481">
        <f t="shared" si="40"/>
        <v>4</v>
      </c>
      <c r="K481">
        <f t="shared" si="41"/>
        <v>3</v>
      </c>
      <c r="L481">
        <f t="shared" si="42"/>
        <v>4</v>
      </c>
    </row>
    <row r="482" spans="1:12" x14ac:dyDescent="0.35">
      <c r="A482">
        <v>5660</v>
      </c>
      <c r="B482" s="3">
        <f>H$6-_xlfn.MAXIFS(Table1[PurchaseDate],Table1[CustomerID],A482)</f>
        <v>22</v>
      </c>
      <c r="C482">
        <f>COUNTIF(Table1[CustomerID],A482)</f>
        <v>1</v>
      </c>
      <c r="D482" s="12">
        <f>SUMIF(Table1[CustomerID],A482,Table1[TransactionAmount])</f>
        <v>26.14</v>
      </c>
      <c r="E482" t="str">
        <f t="shared" si="38"/>
        <v>411</v>
      </c>
      <c r="F482" t="str">
        <f t="shared" si="39"/>
        <v>Needs Attention</v>
      </c>
      <c r="J482">
        <f t="shared" si="40"/>
        <v>4</v>
      </c>
      <c r="K482">
        <f t="shared" si="41"/>
        <v>1</v>
      </c>
      <c r="L482">
        <f t="shared" si="42"/>
        <v>1</v>
      </c>
    </row>
    <row r="483" spans="1:12" x14ac:dyDescent="0.35">
      <c r="A483">
        <v>5664</v>
      </c>
      <c r="B483" s="3">
        <f>H$6-_xlfn.MAXIFS(Table1[PurchaseDate],Table1[CustomerID],A483)</f>
        <v>19</v>
      </c>
      <c r="C483">
        <f>COUNTIF(Table1[CustomerID],A483)</f>
        <v>1</v>
      </c>
      <c r="D483" s="12">
        <f>SUMIF(Table1[CustomerID],A483,Table1[TransactionAmount])</f>
        <v>745.5</v>
      </c>
      <c r="E483" t="str">
        <f t="shared" si="38"/>
        <v>414</v>
      </c>
      <c r="F483" t="str">
        <f t="shared" si="39"/>
        <v>Potential Loyalists</v>
      </c>
      <c r="J483">
        <f t="shared" si="40"/>
        <v>4</v>
      </c>
      <c r="K483">
        <f t="shared" si="41"/>
        <v>1</v>
      </c>
      <c r="L483">
        <f t="shared" si="42"/>
        <v>4</v>
      </c>
    </row>
    <row r="484" spans="1:12" x14ac:dyDescent="0.35">
      <c r="A484">
        <v>5670</v>
      </c>
      <c r="B484" s="3">
        <f>H$6-_xlfn.MAXIFS(Table1[PurchaseDate],Table1[CustomerID],A484)</f>
        <v>59</v>
      </c>
      <c r="C484">
        <f>COUNTIF(Table1[CustomerID],A484)</f>
        <v>1</v>
      </c>
      <c r="D484" s="12">
        <f>SUMIF(Table1[CustomerID],A484,Table1[TransactionAmount])</f>
        <v>392.7</v>
      </c>
      <c r="E484" t="str">
        <f t="shared" si="38"/>
        <v>112</v>
      </c>
      <c r="F484" t="str">
        <f t="shared" si="39"/>
        <v>At Risk</v>
      </c>
      <c r="J484">
        <f t="shared" si="40"/>
        <v>1</v>
      </c>
      <c r="K484">
        <f t="shared" si="41"/>
        <v>1</v>
      </c>
      <c r="L484">
        <f t="shared" si="42"/>
        <v>2</v>
      </c>
    </row>
    <row r="485" spans="1:12" x14ac:dyDescent="0.35">
      <c r="A485">
        <v>5673</v>
      </c>
      <c r="B485" s="3">
        <f>H$6-_xlfn.MAXIFS(Table1[PurchaseDate],Table1[CustomerID],A485)</f>
        <v>33</v>
      </c>
      <c r="C485">
        <f>COUNTIF(Table1[CustomerID],A485)</f>
        <v>1</v>
      </c>
      <c r="D485" s="12">
        <f>SUMIF(Table1[CustomerID],A485,Table1[TransactionAmount])</f>
        <v>699.63</v>
      </c>
      <c r="E485" t="str">
        <f t="shared" si="38"/>
        <v>314</v>
      </c>
      <c r="F485" t="str">
        <f t="shared" si="39"/>
        <v>Potential Loyalists</v>
      </c>
      <c r="J485">
        <f t="shared" si="40"/>
        <v>3</v>
      </c>
      <c r="K485">
        <f t="shared" si="41"/>
        <v>1</v>
      </c>
      <c r="L485">
        <f t="shared" si="42"/>
        <v>4</v>
      </c>
    </row>
    <row r="486" spans="1:12" x14ac:dyDescent="0.35">
      <c r="A486">
        <v>5687</v>
      </c>
      <c r="B486" s="3">
        <f>H$6-_xlfn.MAXIFS(Table1[PurchaseDate],Table1[CustomerID],A486)</f>
        <v>5</v>
      </c>
      <c r="C486">
        <f>COUNTIF(Table1[CustomerID],A486)</f>
        <v>1</v>
      </c>
      <c r="D486" s="12">
        <f>SUMIF(Table1[CustomerID],A486,Table1[TransactionAmount])</f>
        <v>540.28</v>
      </c>
      <c r="E486" t="str">
        <f t="shared" si="38"/>
        <v>513</v>
      </c>
      <c r="F486" t="str">
        <f t="shared" si="39"/>
        <v>Potential Loyalists</v>
      </c>
      <c r="J486">
        <f t="shared" si="40"/>
        <v>5</v>
      </c>
      <c r="K486">
        <f t="shared" si="41"/>
        <v>1</v>
      </c>
      <c r="L486">
        <f t="shared" si="42"/>
        <v>3</v>
      </c>
    </row>
    <row r="487" spans="1:12" x14ac:dyDescent="0.35">
      <c r="A487">
        <v>5694</v>
      </c>
      <c r="B487" s="3">
        <f>H$6-_xlfn.MAXIFS(Table1[PurchaseDate],Table1[CustomerID],A487)</f>
        <v>31</v>
      </c>
      <c r="C487">
        <f>COUNTIF(Table1[CustomerID],A487)</f>
        <v>1</v>
      </c>
      <c r="D487" s="12">
        <f>SUMIF(Table1[CustomerID],A487,Table1[TransactionAmount])</f>
        <v>635.4</v>
      </c>
      <c r="E487" t="str">
        <f t="shared" si="38"/>
        <v>313</v>
      </c>
      <c r="F487" t="str">
        <f t="shared" si="39"/>
        <v>Potential Loyalists</v>
      </c>
      <c r="J487">
        <f t="shared" si="40"/>
        <v>3</v>
      </c>
      <c r="K487">
        <f t="shared" si="41"/>
        <v>1</v>
      </c>
      <c r="L487">
        <f t="shared" si="42"/>
        <v>3</v>
      </c>
    </row>
    <row r="488" spans="1:12" x14ac:dyDescent="0.35">
      <c r="A488">
        <v>5706</v>
      </c>
      <c r="B488" s="3">
        <f>H$6-_xlfn.MAXIFS(Table1[PurchaseDate],Table1[CustomerID],A488)</f>
        <v>40</v>
      </c>
      <c r="C488">
        <f>COUNTIF(Table1[CustomerID],A488)</f>
        <v>1</v>
      </c>
      <c r="D488" s="12">
        <f>SUMIF(Table1[CustomerID],A488,Table1[TransactionAmount])</f>
        <v>292.56</v>
      </c>
      <c r="E488" t="str">
        <f t="shared" si="38"/>
        <v>212</v>
      </c>
      <c r="F488" t="str">
        <f t="shared" si="39"/>
        <v>At Risk</v>
      </c>
      <c r="J488">
        <f t="shared" si="40"/>
        <v>2</v>
      </c>
      <c r="K488">
        <f t="shared" si="41"/>
        <v>1</v>
      </c>
      <c r="L488">
        <f t="shared" si="42"/>
        <v>2</v>
      </c>
    </row>
    <row r="489" spans="1:12" x14ac:dyDescent="0.35">
      <c r="A489">
        <v>5719</v>
      </c>
      <c r="B489" s="3">
        <f>H$6-_xlfn.MAXIFS(Table1[PurchaseDate],Table1[CustomerID],A489)</f>
        <v>32</v>
      </c>
      <c r="C489">
        <f>COUNTIF(Table1[CustomerID],A489)</f>
        <v>1</v>
      </c>
      <c r="D489" s="12">
        <f>SUMIF(Table1[CustomerID],A489,Table1[TransactionAmount])</f>
        <v>882.04</v>
      </c>
      <c r="E489" t="str">
        <f t="shared" si="38"/>
        <v>315</v>
      </c>
      <c r="F489" t="str">
        <f t="shared" si="39"/>
        <v>Potential Loyalists</v>
      </c>
      <c r="J489">
        <f t="shared" si="40"/>
        <v>3</v>
      </c>
      <c r="K489">
        <f t="shared" si="41"/>
        <v>1</v>
      </c>
      <c r="L489">
        <f t="shared" si="42"/>
        <v>5</v>
      </c>
    </row>
    <row r="490" spans="1:12" x14ac:dyDescent="0.35">
      <c r="A490">
        <v>5735</v>
      </c>
      <c r="B490" s="3">
        <f>H$6-_xlfn.MAXIFS(Table1[PurchaseDate],Table1[CustomerID],A490)</f>
        <v>15</v>
      </c>
      <c r="C490">
        <f>COUNTIF(Table1[CustomerID],A490)</f>
        <v>1</v>
      </c>
      <c r="D490" s="12">
        <f>SUMIF(Table1[CustomerID],A490,Table1[TransactionAmount])</f>
        <v>215.21</v>
      </c>
      <c r="E490" t="str">
        <f t="shared" si="38"/>
        <v>411</v>
      </c>
      <c r="F490" t="str">
        <f t="shared" si="39"/>
        <v>Needs Attention</v>
      </c>
      <c r="J490">
        <f t="shared" si="40"/>
        <v>4</v>
      </c>
      <c r="K490">
        <f t="shared" si="41"/>
        <v>1</v>
      </c>
      <c r="L490">
        <f t="shared" si="42"/>
        <v>1</v>
      </c>
    </row>
    <row r="491" spans="1:12" x14ac:dyDescent="0.35">
      <c r="A491">
        <v>5742</v>
      </c>
      <c r="B491" s="3">
        <f>H$6-_xlfn.MAXIFS(Table1[PurchaseDate],Table1[CustomerID],A491)</f>
        <v>40</v>
      </c>
      <c r="C491">
        <f>COUNTIF(Table1[CustomerID],A491)</f>
        <v>1</v>
      </c>
      <c r="D491" s="12">
        <f>SUMIF(Table1[CustomerID],A491,Table1[TransactionAmount])</f>
        <v>128.78</v>
      </c>
      <c r="E491" t="str">
        <f t="shared" si="38"/>
        <v>211</v>
      </c>
      <c r="F491" t="str">
        <f t="shared" si="39"/>
        <v>At Risk</v>
      </c>
      <c r="J491">
        <f t="shared" si="40"/>
        <v>2</v>
      </c>
      <c r="K491">
        <f t="shared" si="41"/>
        <v>1</v>
      </c>
      <c r="L491">
        <f t="shared" si="42"/>
        <v>1</v>
      </c>
    </row>
    <row r="492" spans="1:12" x14ac:dyDescent="0.35">
      <c r="A492">
        <v>5747</v>
      </c>
      <c r="B492" s="3">
        <f>H$6-_xlfn.MAXIFS(Table1[PurchaseDate],Table1[CustomerID],A492)</f>
        <v>10</v>
      </c>
      <c r="C492">
        <f>COUNTIF(Table1[CustomerID],A492)</f>
        <v>1</v>
      </c>
      <c r="D492" s="12">
        <f>SUMIF(Table1[CustomerID],A492,Table1[TransactionAmount])</f>
        <v>400.38</v>
      </c>
      <c r="E492" t="str">
        <f t="shared" si="38"/>
        <v>512</v>
      </c>
      <c r="F492" t="str">
        <f t="shared" si="39"/>
        <v>Needs Attention</v>
      </c>
      <c r="J492">
        <f t="shared" si="40"/>
        <v>5</v>
      </c>
      <c r="K492">
        <f t="shared" si="41"/>
        <v>1</v>
      </c>
      <c r="L492">
        <f t="shared" si="42"/>
        <v>2</v>
      </c>
    </row>
    <row r="493" spans="1:12" x14ac:dyDescent="0.35">
      <c r="A493">
        <v>5762</v>
      </c>
      <c r="B493" s="3">
        <f>H$6-_xlfn.MAXIFS(Table1[PurchaseDate],Table1[CustomerID],A493)</f>
        <v>18</v>
      </c>
      <c r="C493">
        <f>COUNTIF(Table1[CustomerID],A493)</f>
        <v>1</v>
      </c>
      <c r="D493" s="12">
        <f>SUMIF(Table1[CustomerID],A493,Table1[TransactionAmount])</f>
        <v>76.69</v>
      </c>
      <c r="E493" t="str">
        <f t="shared" si="38"/>
        <v>411</v>
      </c>
      <c r="F493" t="str">
        <f t="shared" si="39"/>
        <v>Needs Attention</v>
      </c>
      <c r="J493">
        <f t="shared" si="40"/>
        <v>4</v>
      </c>
      <c r="K493">
        <f t="shared" si="41"/>
        <v>1</v>
      </c>
      <c r="L493">
        <f t="shared" si="42"/>
        <v>1</v>
      </c>
    </row>
    <row r="494" spans="1:12" x14ac:dyDescent="0.35">
      <c r="A494">
        <v>5781</v>
      </c>
      <c r="B494" s="3">
        <f>H$6-_xlfn.MAXIFS(Table1[PurchaseDate],Table1[CustomerID],A494)</f>
        <v>34</v>
      </c>
      <c r="C494">
        <f>COUNTIF(Table1[CustomerID],A494)</f>
        <v>1</v>
      </c>
      <c r="D494" s="12">
        <f>SUMIF(Table1[CustomerID],A494,Table1[TransactionAmount])</f>
        <v>393.92</v>
      </c>
      <c r="E494" t="str">
        <f t="shared" si="38"/>
        <v>312</v>
      </c>
      <c r="F494" t="str">
        <f t="shared" si="39"/>
        <v>Needs Attention</v>
      </c>
      <c r="J494">
        <f t="shared" si="40"/>
        <v>3</v>
      </c>
      <c r="K494">
        <f t="shared" si="41"/>
        <v>1</v>
      </c>
      <c r="L494">
        <f t="shared" si="42"/>
        <v>2</v>
      </c>
    </row>
    <row r="495" spans="1:12" x14ac:dyDescent="0.35">
      <c r="A495">
        <v>5803</v>
      </c>
      <c r="B495" s="3">
        <f>H$6-_xlfn.MAXIFS(Table1[PurchaseDate],Table1[CustomerID],A495)</f>
        <v>7</v>
      </c>
      <c r="C495">
        <f>COUNTIF(Table1[CustomerID],A495)</f>
        <v>1</v>
      </c>
      <c r="D495" s="12">
        <f>SUMIF(Table1[CustomerID],A495,Table1[TransactionAmount])</f>
        <v>632.35</v>
      </c>
      <c r="E495" t="str">
        <f t="shared" si="38"/>
        <v>513</v>
      </c>
      <c r="F495" t="str">
        <f t="shared" si="39"/>
        <v>Potential Loyalists</v>
      </c>
      <c r="J495">
        <f t="shared" si="40"/>
        <v>5</v>
      </c>
      <c r="K495">
        <f t="shared" si="41"/>
        <v>1</v>
      </c>
      <c r="L495">
        <f t="shared" si="42"/>
        <v>3</v>
      </c>
    </row>
    <row r="496" spans="1:12" x14ac:dyDescent="0.35">
      <c r="A496">
        <v>5809</v>
      </c>
      <c r="B496" s="3">
        <f>H$6-_xlfn.MAXIFS(Table1[PurchaseDate],Table1[CustomerID],A496)</f>
        <v>47</v>
      </c>
      <c r="C496">
        <f>COUNTIF(Table1[CustomerID],A496)</f>
        <v>1</v>
      </c>
      <c r="D496" s="12">
        <f>SUMIF(Table1[CustomerID],A496,Table1[TransactionAmount])</f>
        <v>950.81</v>
      </c>
      <c r="E496" t="str">
        <f t="shared" si="38"/>
        <v>215</v>
      </c>
      <c r="F496" t="str">
        <f t="shared" si="39"/>
        <v>Needs Attention</v>
      </c>
      <c r="J496">
        <f t="shared" si="40"/>
        <v>2</v>
      </c>
      <c r="K496">
        <f t="shared" si="41"/>
        <v>1</v>
      </c>
      <c r="L496">
        <f t="shared" si="42"/>
        <v>5</v>
      </c>
    </row>
    <row r="497" spans="1:12" x14ac:dyDescent="0.35">
      <c r="A497">
        <v>5813</v>
      </c>
      <c r="B497" s="3">
        <f>H$6-_xlfn.MAXIFS(Table1[PurchaseDate],Table1[CustomerID],A497)</f>
        <v>54</v>
      </c>
      <c r="C497">
        <f>COUNTIF(Table1[CustomerID],A497)</f>
        <v>1</v>
      </c>
      <c r="D497" s="12">
        <f>SUMIF(Table1[CustomerID],A497,Table1[TransactionAmount])</f>
        <v>476.07</v>
      </c>
      <c r="E497" t="str">
        <f t="shared" si="38"/>
        <v>113</v>
      </c>
      <c r="F497" t="str">
        <f t="shared" si="39"/>
        <v>Needs Attention</v>
      </c>
      <c r="J497">
        <f t="shared" si="40"/>
        <v>1</v>
      </c>
      <c r="K497">
        <f t="shared" si="41"/>
        <v>1</v>
      </c>
      <c r="L497">
        <f t="shared" si="42"/>
        <v>3</v>
      </c>
    </row>
    <row r="498" spans="1:12" x14ac:dyDescent="0.35">
      <c r="A498">
        <v>5819</v>
      </c>
      <c r="B498" s="3">
        <f>H$6-_xlfn.MAXIFS(Table1[PurchaseDate],Table1[CustomerID],A498)</f>
        <v>32</v>
      </c>
      <c r="C498">
        <f>COUNTIF(Table1[CustomerID],A498)</f>
        <v>1</v>
      </c>
      <c r="D498" s="12">
        <f>SUMIF(Table1[CustomerID],A498,Table1[TransactionAmount])</f>
        <v>185.65</v>
      </c>
      <c r="E498" t="str">
        <f t="shared" si="38"/>
        <v>311</v>
      </c>
      <c r="F498" t="str">
        <f t="shared" si="39"/>
        <v>Needs Attention</v>
      </c>
      <c r="J498">
        <f t="shared" si="40"/>
        <v>3</v>
      </c>
      <c r="K498">
        <f t="shared" si="41"/>
        <v>1</v>
      </c>
      <c r="L498">
        <f t="shared" si="42"/>
        <v>1</v>
      </c>
    </row>
    <row r="499" spans="1:12" x14ac:dyDescent="0.35">
      <c r="A499">
        <v>5833</v>
      </c>
      <c r="B499" s="3">
        <f>H$6-_xlfn.MAXIFS(Table1[PurchaseDate],Table1[CustomerID],A499)</f>
        <v>37</v>
      </c>
      <c r="C499">
        <f>COUNTIF(Table1[CustomerID],A499)</f>
        <v>1</v>
      </c>
      <c r="D499" s="12">
        <f>SUMIF(Table1[CustomerID],A499,Table1[TransactionAmount])</f>
        <v>618.48</v>
      </c>
      <c r="E499" t="str">
        <f t="shared" si="38"/>
        <v>313</v>
      </c>
      <c r="F499" t="str">
        <f t="shared" si="39"/>
        <v>Potential Loyalists</v>
      </c>
      <c r="J499">
        <f t="shared" si="40"/>
        <v>3</v>
      </c>
      <c r="K499">
        <f t="shared" si="41"/>
        <v>1</v>
      </c>
      <c r="L499">
        <f t="shared" si="42"/>
        <v>3</v>
      </c>
    </row>
    <row r="500" spans="1:12" x14ac:dyDescent="0.35">
      <c r="A500">
        <v>5837</v>
      </c>
      <c r="B500" s="3">
        <f>H$6-_xlfn.MAXIFS(Table1[PurchaseDate],Table1[CustomerID],A500)</f>
        <v>59</v>
      </c>
      <c r="C500">
        <f>COUNTIF(Table1[CustomerID],A500)</f>
        <v>1</v>
      </c>
      <c r="D500" s="12">
        <f>SUMIF(Table1[CustomerID],A500,Table1[TransactionAmount])</f>
        <v>978.17</v>
      </c>
      <c r="E500" t="str">
        <f t="shared" si="38"/>
        <v>115</v>
      </c>
      <c r="F500" t="str">
        <f t="shared" si="39"/>
        <v>Needs Attention</v>
      </c>
      <c r="J500">
        <f t="shared" si="40"/>
        <v>1</v>
      </c>
      <c r="K500">
        <f t="shared" si="41"/>
        <v>1</v>
      </c>
      <c r="L500">
        <f t="shared" si="42"/>
        <v>5</v>
      </c>
    </row>
    <row r="501" spans="1:12" x14ac:dyDescent="0.35">
      <c r="A501">
        <v>5843</v>
      </c>
      <c r="B501" s="3">
        <f>H$6-_xlfn.MAXIFS(Table1[PurchaseDate],Table1[CustomerID],A501)</f>
        <v>44</v>
      </c>
      <c r="C501">
        <f>COUNTIF(Table1[CustomerID],A501)</f>
        <v>1</v>
      </c>
      <c r="D501" s="12">
        <f>SUMIF(Table1[CustomerID],A501,Table1[TransactionAmount])</f>
        <v>907.84</v>
      </c>
      <c r="E501" t="str">
        <f t="shared" si="38"/>
        <v>215</v>
      </c>
      <c r="F501" t="str">
        <f t="shared" si="39"/>
        <v>Needs Attention</v>
      </c>
      <c r="J501">
        <f t="shared" si="40"/>
        <v>2</v>
      </c>
      <c r="K501">
        <f t="shared" si="41"/>
        <v>1</v>
      </c>
      <c r="L501">
        <f t="shared" si="42"/>
        <v>5</v>
      </c>
    </row>
    <row r="502" spans="1:12" x14ac:dyDescent="0.35">
      <c r="A502">
        <v>5853</v>
      </c>
      <c r="B502" s="3">
        <f>H$6-_xlfn.MAXIFS(Table1[PurchaseDate],Table1[CustomerID],A502)</f>
        <v>46</v>
      </c>
      <c r="C502">
        <f>COUNTIF(Table1[CustomerID],A502)</f>
        <v>1</v>
      </c>
      <c r="D502" s="12">
        <f>SUMIF(Table1[CustomerID],A502,Table1[TransactionAmount])</f>
        <v>367.27</v>
      </c>
      <c r="E502" t="str">
        <f t="shared" si="38"/>
        <v>212</v>
      </c>
      <c r="F502" t="str">
        <f t="shared" si="39"/>
        <v>At Risk</v>
      </c>
      <c r="J502">
        <f t="shared" si="40"/>
        <v>2</v>
      </c>
      <c r="K502">
        <f t="shared" si="41"/>
        <v>1</v>
      </c>
      <c r="L502">
        <f t="shared" si="42"/>
        <v>2</v>
      </c>
    </row>
    <row r="503" spans="1:12" x14ac:dyDescent="0.35">
      <c r="A503">
        <v>5861</v>
      </c>
      <c r="B503" s="3">
        <f>H$6-_xlfn.MAXIFS(Table1[PurchaseDate],Table1[CustomerID],A503)</f>
        <v>47</v>
      </c>
      <c r="C503">
        <f>COUNTIF(Table1[CustomerID],A503)</f>
        <v>1</v>
      </c>
      <c r="D503" s="12">
        <f>SUMIF(Table1[CustomerID],A503,Table1[TransactionAmount])</f>
        <v>969.02</v>
      </c>
      <c r="E503" t="str">
        <f t="shared" si="38"/>
        <v>215</v>
      </c>
      <c r="F503" t="str">
        <f t="shared" si="39"/>
        <v>Needs Attention</v>
      </c>
      <c r="J503">
        <f t="shared" si="40"/>
        <v>2</v>
      </c>
      <c r="K503">
        <f t="shared" si="41"/>
        <v>1</v>
      </c>
      <c r="L503">
        <f t="shared" si="42"/>
        <v>5</v>
      </c>
    </row>
    <row r="504" spans="1:12" x14ac:dyDescent="0.35">
      <c r="A504">
        <v>5888</v>
      </c>
      <c r="B504" s="3">
        <f>H$6-_xlfn.MAXIFS(Table1[PurchaseDate],Table1[CustomerID],A504)</f>
        <v>24</v>
      </c>
      <c r="C504">
        <f>COUNTIF(Table1[CustomerID],A504)</f>
        <v>1</v>
      </c>
      <c r="D504" s="12">
        <f>SUMIF(Table1[CustomerID],A504,Table1[TransactionAmount])</f>
        <v>606.76</v>
      </c>
      <c r="E504" t="str">
        <f t="shared" si="38"/>
        <v>413</v>
      </c>
      <c r="F504" t="str">
        <f t="shared" si="39"/>
        <v>Potential Loyalists</v>
      </c>
      <c r="J504">
        <f t="shared" si="40"/>
        <v>4</v>
      </c>
      <c r="K504">
        <f t="shared" si="41"/>
        <v>1</v>
      </c>
      <c r="L504">
        <f t="shared" si="42"/>
        <v>3</v>
      </c>
    </row>
    <row r="505" spans="1:12" x14ac:dyDescent="0.35">
      <c r="A505">
        <v>5890</v>
      </c>
      <c r="B505" s="3">
        <f>H$6-_xlfn.MAXIFS(Table1[PurchaseDate],Table1[CustomerID],A505)</f>
        <v>17</v>
      </c>
      <c r="C505">
        <f>COUNTIF(Table1[CustomerID],A505)</f>
        <v>1</v>
      </c>
      <c r="D505" s="12">
        <f>SUMIF(Table1[CustomerID],A505,Table1[TransactionAmount])</f>
        <v>117.02</v>
      </c>
      <c r="E505" t="str">
        <f t="shared" si="38"/>
        <v>411</v>
      </c>
      <c r="F505" t="str">
        <f t="shared" si="39"/>
        <v>Needs Attention</v>
      </c>
      <c r="J505">
        <f t="shared" si="40"/>
        <v>4</v>
      </c>
      <c r="K505">
        <f t="shared" si="41"/>
        <v>1</v>
      </c>
      <c r="L505">
        <f t="shared" si="42"/>
        <v>1</v>
      </c>
    </row>
    <row r="506" spans="1:12" x14ac:dyDescent="0.35">
      <c r="A506">
        <v>5903</v>
      </c>
      <c r="B506" s="3">
        <f>H$6-_xlfn.MAXIFS(Table1[PurchaseDate],Table1[CustomerID],A506)</f>
        <v>40</v>
      </c>
      <c r="C506">
        <f>COUNTIF(Table1[CustomerID],A506)</f>
        <v>1</v>
      </c>
      <c r="D506" s="12">
        <f>SUMIF(Table1[CustomerID],A506,Table1[TransactionAmount])</f>
        <v>374.88</v>
      </c>
      <c r="E506" t="str">
        <f t="shared" si="38"/>
        <v>212</v>
      </c>
      <c r="F506" t="str">
        <f t="shared" si="39"/>
        <v>At Risk</v>
      </c>
      <c r="J506">
        <f t="shared" si="40"/>
        <v>2</v>
      </c>
      <c r="K506">
        <f t="shared" si="41"/>
        <v>1</v>
      </c>
      <c r="L506">
        <f t="shared" si="42"/>
        <v>2</v>
      </c>
    </row>
    <row r="507" spans="1:12" x14ac:dyDescent="0.35">
      <c r="A507">
        <v>5905</v>
      </c>
      <c r="B507" s="3">
        <f>H$6-_xlfn.MAXIFS(Table1[PurchaseDate],Table1[CustomerID],A507)</f>
        <v>1</v>
      </c>
      <c r="C507">
        <f>COUNTIF(Table1[CustomerID],A507)</f>
        <v>1</v>
      </c>
      <c r="D507" s="12">
        <f>SUMIF(Table1[CustomerID],A507,Table1[TransactionAmount])</f>
        <v>666.75</v>
      </c>
      <c r="E507" t="str">
        <f t="shared" si="38"/>
        <v>514</v>
      </c>
      <c r="F507" t="str">
        <f t="shared" si="39"/>
        <v>Potential Loyalists</v>
      </c>
      <c r="J507">
        <f t="shared" si="40"/>
        <v>5</v>
      </c>
      <c r="K507">
        <f t="shared" si="41"/>
        <v>1</v>
      </c>
      <c r="L507">
        <f t="shared" si="42"/>
        <v>4</v>
      </c>
    </row>
    <row r="508" spans="1:12" x14ac:dyDescent="0.35">
      <c r="A508">
        <v>5915</v>
      </c>
      <c r="B508" s="3">
        <f>H$6-_xlfn.MAXIFS(Table1[PurchaseDate],Table1[CustomerID],A508)</f>
        <v>44</v>
      </c>
      <c r="C508">
        <f>COUNTIF(Table1[CustomerID],A508)</f>
        <v>1</v>
      </c>
      <c r="D508" s="12">
        <f>SUMIF(Table1[CustomerID],A508,Table1[TransactionAmount])</f>
        <v>566.52</v>
      </c>
      <c r="E508" t="str">
        <f t="shared" si="38"/>
        <v>213</v>
      </c>
      <c r="F508" t="str">
        <f t="shared" si="39"/>
        <v>Needs Attention</v>
      </c>
      <c r="J508">
        <f t="shared" si="40"/>
        <v>2</v>
      </c>
      <c r="K508">
        <f t="shared" si="41"/>
        <v>1</v>
      </c>
      <c r="L508">
        <f t="shared" si="42"/>
        <v>3</v>
      </c>
    </row>
    <row r="509" spans="1:12" x14ac:dyDescent="0.35">
      <c r="A509">
        <v>5919</v>
      </c>
      <c r="B509" s="3">
        <f>H$6-_xlfn.MAXIFS(Table1[PurchaseDate],Table1[CustomerID],A509)</f>
        <v>58</v>
      </c>
      <c r="C509">
        <f>COUNTIF(Table1[CustomerID],A509)</f>
        <v>1</v>
      </c>
      <c r="D509" s="12">
        <f>SUMIF(Table1[CustomerID],A509,Table1[TransactionAmount])</f>
        <v>812.08</v>
      </c>
      <c r="E509" t="str">
        <f t="shared" si="38"/>
        <v>114</v>
      </c>
      <c r="F509" t="str">
        <f t="shared" si="39"/>
        <v>Needs Attention</v>
      </c>
      <c r="J509">
        <f t="shared" si="40"/>
        <v>1</v>
      </c>
      <c r="K509">
        <f t="shared" si="41"/>
        <v>1</v>
      </c>
      <c r="L509">
        <f t="shared" si="42"/>
        <v>4</v>
      </c>
    </row>
    <row r="510" spans="1:12" x14ac:dyDescent="0.35">
      <c r="A510">
        <v>5920</v>
      </c>
      <c r="B510" s="3">
        <f>H$6-_xlfn.MAXIFS(Table1[PurchaseDate],Table1[CustomerID],A510)</f>
        <v>46</v>
      </c>
      <c r="C510">
        <f>COUNTIF(Table1[CustomerID],A510)</f>
        <v>1</v>
      </c>
      <c r="D510" s="12">
        <f>SUMIF(Table1[CustomerID],A510,Table1[TransactionAmount])</f>
        <v>222.67</v>
      </c>
      <c r="E510" t="str">
        <f t="shared" si="38"/>
        <v>212</v>
      </c>
      <c r="F510" t="str">
        <f t="shared" si="39"/>
        <v>At Risk</v>
      </c>
      <c r="J510">
        <f t="shared" si="40"/>
        <v>2</v>
      </c>
      <c r="K510">
        <f t="shared" si="41"/>
        <v>1</v>
      </c>
      <c r="L510">
        <f t="shared" si="42"/>
        <v>2</v>
      </c>
    </row>
    <row r="511" spans="1:12" x14ac:dyDescent="0.35">
      <c r="A511">
        <v>5923</v>
      </c>
      <c r="B511" s="3">
        <f>H$6-_xlfn.MAXIFS(Table1[PurchaseDate],Table1[CustomerID],A511)</f>
        <v>13</v>
      </c>
      <c r="C511">
        <f>COUNTIF(Table1[CustomerID],A511)</f>
        <v>1</v>
      </c>
      <c r="D511" s="12">
        <f>SUMIF(Table1[CustomerID],A511,Table1[TransactionAmount])</f>
        <v>448.68</v>
      </c>
      <c r="E511" t="str">
        <f t="shared" si="38"/>
        <v>413</v>
      </c>
      <c r="F511" t="str">
        <f t="shared" si="39"/>
        <v>Potential Loyalists</v>
      </c>
      <c r="J511">
        <f t="shared" si="40"/>
        <v>4</v>
      </c>
      <c r="K511">
        <f t="shared" si="41"/>
        <v>1</v>
      </c>
      <c r="L511">
        <f t="shared" si="42"/>
        <v>3</v>
      </c>
    </row>
    <row r="512" spans="1:12" x14ac:dyDescent="0.35">
      <c r="A512">
        <v>5933</v>
      </c>
      <c r="B512" s="3">
        <f>H$6-_xlfn.MAXIFS(Table1[PurchaseDate],Table1[CustomerID],A512)</f>
        <v>34</v>
      </c>
      <c r="C512">
        <f>COUNTIF(Table1[CustomerID],A512)</f>
        <v>2</v>
      </c>
      <c r="D512" s="12">
        <f>SUMIF(Table1[CustomerID],A512,Table1[TransactionAmount])</f>
        <v>1163.24</v>
      </c>
      <c r="E512" t="str">
        <f t="shared" si="38"/>
        <v>335</v>
      </c>
      <c r="F512" t="str">
        <f t="shared" si="39"/>
        <v>Loyal Customers</v>
      </c>
      <c r="J512">
        <f t="shared" si="40"/>
        <v>3</v>
      </c>
      <c r="K512">
        <f t="shared" si="41"/>
        <v>3</v>
      </c>
      <c r="L512">
        <f t="shared" si="42"/>
        <v>5</v>
      </c>
    </row>
    <row r="513" spans="1:12" x14ac:dyDescent="0.35">
      <c r="A513">
        <v>5938</v>
      </c>
      <c r="B513" s="3">
        <f>H$6-_xlfn.MAXIFS(Table1[PurchaseDate],Table1[CustomerID],A513)</f>
        <v>0</v>
      </c>
      <c r="C513">
        <f>COUNTIF(Table1[CustomerID],A513)</f>
        <v>1</v>
      </c>
      <c r="D513" s="12">
        <f>SUMIF(Table1[CustomerID],A513,Table1[TransactionAmount])</f>
        <v>219.12</v>
      </c>
      <c r="E513" t="str">
        <f t="shared" si="38"/>
        <v>512</v>
      </c>
      <c r="F513" t="str">
        <f t="shared" si="39"/>
        <v>Needs Attention</v>
      </c>
      <c r="J513">
        <f t="shared" si="40"/>
        <v>5</v>
      </c>
      <c r="K513">
        <f t="shared" si="41"/>
        <v>1</v>
      </c>
      <c r="L513">
        <f t="shared" si="42"/>
        <v>2</v>
      </c>
    </row>
    <row r="514" spans="1:12" x14ac:dyDescent="0.35">
      <c r="A514">
        <v>5949</v>
      </c>
      <c r="B514" s="3">
        <f>H$6-_xlfn.MAXIFS(Table1[PurchaseDate],Table1[CustomerID],A514)</f>
        <v>30</v>
      </c>
      <c r="C514">
        <f>COUNTIF(Table1[CustomerID],A514)</f>
        <v>1</v>
      </c>
      <c r="D514" s="12">
        <f>SUMIF(Table1[CustomerID],A514,Table1[TransactionAmount])</f>
        <v>252.43</v>
      </c>
      <c r="E514" t="str">
        <f t="shared" si="38"/>
        <v>312</v>
      </c>
      <c r="F514" t="str">
        <f t="shared" si="39"/>
        <v>Needs Attention</v>
      </c>
      <c r="J514">
        <f t="shared" si="40"/>
        <v>3</v>
      </c>
      <c r="K514">
        <f t="shared" si="41"/>
        <v>1</v>
      </c>
      <c r="L514">
        <f t="shared" si="42"/>
        <v>2</v>
      </c>
    </row>
    <row r="515" spans="1:12" x14ac:dyDescent="0.35">
      <c r="A515">
        <v>5970</v>
      </c>
      <c r="B515" s="3">
        <f>H$6-_xlfn.MAXIFS(Table1[PurchaseDate],Table1[CustomerID],A515)</f>
        <v>32</v>
      </c>
      <c r="C515">
        <f>COUNTIF(Table1[CustomerID],A515)</f>
        <v>1</v>
      </c>
      <c r="D515" s="12">
        <f>SUMIF(Table1[CustomerID],A515,Table1[TransactionAmount])</f>
        <v>748.15</v>
      </c>
      <c r="E515" t="str">
        <f t="shared" si="38"/>
        <v>314</v>
      </c>
      <c r="F515" t="str">
        <f t="shared" si="39"/>
        <v>Potential Loyalists</v>
      </c>
      <c r="J515">
        <f t="shared" si="40"/>
        <v>3</v>
      </c>
      <c r="K515">
        <f t="shared" si="41"/>
        <v>1</v>
      </c>
      <c r="L515">
        <f t="shared" si="42"/>
        <v>4</v>
      </c>
    </row>
    <row r="516" spans="1:12" x14ac:dyDescent="0.35">
      <c r="A516">
        <v>5990</v>
      </c>
      <c r="B516" s="3">
        <f>H$6-_xlfn.MAXIFS(Table1[PurchaseDate],Table1[CustomerID],A516)</f>
        <v>4</v>
      </c>
      <c r="C516">
        <f>COUNTIF(Table1[CustomerID],A516)</f>
        <v>1</v>
      </c>
      <c r="D516" s="12">
        <f>SUMIF(Table1[CustomerID],A516,Table1[TransactionAmount])</f>
        <v>513.25</v>
      </c>
      <c r="E516" t="str">
        <f t="shared" ref="E516:E579" si="43">J516&amp;K516&amp;L516</f>
        <v>513</v>
      </c>
      <c r="F516" t="str">
        <f t="shared" ref="F516:F579" si="44">IF(AND(J516&gt;=4,K516&gt;=3,L516&gt;=4),"Champions",IF(AND(J516&gt;=3,K516&gt;=2,L516&gt;=3),"Loyal Customers",IF(AND(J516&gt;=3,L516&gt;=3),"Potential Loyalists",IF(AND(J516&lt;=2,L516&lt;=2),"At Risk","Needs Attention"))))</f>
        <v>Potential Loyalists</v>
      </c>
      <c r="J516">
        <f t="shared" ref="J516:J579" si="45">ROUNDUP((COUNT($B$3:$B$948)-_xlfn.RANK.EQ(B516,$B$3:$B$948,1)+1)/COUNT($B$3:$B$948)*5,0)</f>
        <v>5</v>
      </c>
      <c r="K516">
        <f t="shared" ref="K516:K579" si="46">IF(C516=1,1,IF(C516=2,3,IF(C516=3,4,5)))</f>
        <v>1</v>
      </c>
      <c r="L516">
        <f t="shared" ref="L516:L579" si="47">IF(D516&gt;=_xlfn.PERCENTILE.INC($D$3:$D$948,0.8),5,IF(D516&gt;=_xlfn.PERCENTILE.INC($D$3:$D$948,0.6),4,IF(D516&gt;=_xlfn.PERCENTILE.INC($D$3:$D$948,0.4),3,IF(D516&gt;=_xlfn.PERCENTILE.INC($D$3:$D$948,0.2),2,1))))</f>
        <v>3</v>
      </c>
    </row>
    <row r="517" spans="1:12" x14ac:dyDescent="0.35">
      <c r="A517">
        <v>5994</v>
      </c>
      <c r="B517" s="3">
        <f>H$6-_xlfn.MAXIFS(Table1[PurchaseDate],Table1[CustomerID],A517)</f>
        <v>50</v>
      </c>
      <c r="C517">
        <f>COUNTIF(Table1[CustomerID],A517)</f>
        <v>1</v>
      </c>
      <c r="D517" s="12">
        <f>SUMIF(Table1[CustomerID],A517,Table1[TransactionAmount])</f>
        <v>987.78</v>
      </c>
      <c r="E517" t="str">
        <f t="shared" si="43"/>
        <v>115</v>
      </c>
      <c r="F517" t="str">
        <f t="shared" si="44"/>
        <v>Needs Attention</v>
      </c>
      <c r="J517">
        <f t="shared" si="45"/>
        <v>1</v>
      </c>
      <c r="K517">
        <f t="shared" si="46"/>
        <v>1</v>
      </c>
      <c r="L517">
        <f t="shared" si="47"/>
        <v>5</v>
      </c>
    </row>
    <row r="518" spans="1:12" x14ac:dyDescent="0.35">
      <c r="A518">
        <v>6005</v>
      </c>
      <c r="B518" s="3">
        <f>H$6-_xlfn.MAXIFS(Table1[PurchaseDate],Table1[CustomerID],A518)</f>
        <v>14</v>
      </c>
      <c r="C518">
        <f>COUNTIF(Table1[CustomerID],A518)</f>
        <v>1</v>
      </c>
      <c r="D518" s="12">
        <f>SUMIF(Table1[CustomerID],A518,Table1[TransactionAmount])</f>
        <v>702.45</v>
      </c>
      <c r="E518" t="str">
        <f t="shared" si="43"/>
        <v>414</v>
      </c>
      <c r="F518" t="str">
        <f t="shared" si="44"/>
        <v>Potential Loyalists</v>
      </c>
      <c r="J518">
        <f t="shared" si="45"/>
        <v>4</v>
      </c>
      <c r="K518">
        <f t="shared" si="46"/>
        <v>1</v>
      </c>
      <c r="L518">
        <f t="shared" si="47"/>
        <v>4</v>
      </c>
    </row>
    <row r="519" spans="1:12" x14ac:dyDescent="0.35">
      <c r="A519">
        <v>6008</v>
      </c>
      <c r="B519" s="3">
        <f>H$6-_xlfn.MAXIFS(Table1[PurchaseDate],Table1[CustomerID],A519)</f>
        <v>16</v>
      </c>
      <c r="C519">
        <f>COUNTIF(Table1[CustomerID],A519)</f>
        <v>1</v>
      </c>
      <c r="D519" s="12">
        <f>SUMIF(Table1[CustomerID],A519,Table1[TransactionAmount])</f>
        <v>588.33000000000004</v>
      </c>
      <c r="E519" t="str">
        <f t="shared" si="43"/>
        <v>413</v>
      </c>
      <c r="F519" t="str">
        <f t="shared" si="44"/>
        <v>Potential Loyalists</v>
      </c>
      <c r="J519">
        <f t="shared" si="45"/>
        <v>4</v>
      </c>
      <c r="K519">
        <f t="shared" si="46"/>
        <v>1</v>
      </c>
      <c r="L519">
        <f t="shared" si="47"/>
        <v>3</v>
      </c>
    </row>
    <row r="520" spans="1:12" x14ac:dyDescent="0.35">
      <c r="A520">
        <v>6050</v>
      </c>
      <c r="B520" s="3">
        <f>H$6-_xlfn.MAXIFS(Table1[PurchaseDate],Table1[CustomerID],A520)</f>
        <v>37</v>
      </c>
      <c r="C520">
        <f>COUNTIF(Table1[CustomerID],A520)</f>
        <v>1</v>
      </c>
      <c r="D520" s="12">
        <f>SUMIF(Table1[CustomerID],A520,Table1[TransactionAmount])</f>
        <v>899.99</v>
      </c>
      <c r="E520" t="str">
        <f t="shared" si="43"/>
        <v>315</v>
      </c>
      <c r="F520" t="str">
        <f t="shared" si="44"/>
        <v>Potential Loyalists</v>
      </c>
      <c r="J520">
        <f t="shared" si="45"/>
        <v>3</v>
      </c>
      <c r="K520">
        <f t="shared" si="46"/>
        <v>1</v>
      </c>
      <c r="L520">
        <f t="shared" si="47"/>
        <v>5</v>
      </c>
    </row>
    <row r="521" spans="1:12" x14ac:dyDescent="0.35">
      <c r="A521">
        <v>6053</v>
      </c>
      <c r="B521" s="3">
        <f>H$6-_xlfn.MAXIFS(Table1[PurchaseDate],Table1[CustomerID],A521)</f>
        <v>44</v>
      </c>
      <c r="C521">
        <f>COUNTIF(Table1[CustomerID],A521)</f>
        <v>1</v>
      </c>
      <c r="D521" s="12">
        <f>SUMIF(Table1[CustomerID],A521,Table1[TransactionAmount])</f>
        <v>366.05</v>
      </c>
      <c r="E521" t="str">
        <f t="shared" si="43"/>
        <v>212</v>
      </c>
      <c r="F521" t="str">
        <f t="shared" si="44"/>
        <v>At Risk</v>
      </c>
      <c r="J521">
        <f t="shared" si="45"/>
        <v>2</v>
      </c>
      <c r="K521">
        <f t="shared" si="46"/>
        <v>1</v>
      </c>
      <c r="L521">
        <f t="shared" si="47"/>
        <v>2</v>
      </c>
    </row>
    <row r="522" spans="1:12" x14ac:dyDescent="0.35">
      <c r="A522">
        <v>6068</v>
      </c>
      <c r="B522" s="3">
        <f>H$6-_xlfn.MAXIFS(Table1[PurchaseDate],Table1[CustomerID],A522)</f>
        <v>46</v>
      </c>
      <c r="C522">
        <f>COUNTIF(Table1[CustomerID],A522)</f>
        <v>1</v>
      </c>
      <c r="D522" s="12">
        <f>SUMIF(Table1[CustomerID],A522,Table1[TransactionAmount])</f>
        <v>254.92</v>
      </c>
      <c r="E522" t="str">
        <f t="shared" si="43"/>
        <v>212</v>
      </c>
      <c r="F522" t="str">
        <f t="shared" si="44"/>
        <v>At Risk</v>
      </c>
      <c r="J522">
        <f t="shared" si="45"/>
        <v>2</v>
      </c>
      <c r="K522">
        <f t="shared" si="46"/>
        <v>1</v>
      </c>
      <c r="L522">
        <f t="shared" si="47"/>
        <v>2</v>
      </c>
    </row>
    <row r="523" spans="1:12" x14ac:dyDescent="0.35">
      <c r="A523">
        <v>6071</v>
      </c>
      <c r="B523" s="3">
        <f>H$6-_xlfn.MAXIFS(Table1[PurchaseDate],Table1[CustomerID],A523)</f>
        <v>14</v>
      </c>
      <c r="C523">
        <f>COUNTIF(Table1[CustomerID],A523)</f>
        <v>1</v>
      </c>
      <c r="D523" s="12">
        <f>SUMIF(Table1[CustomerID],A523,Table1[TransactionAmount])</f>
        <v>770.94</v>
      </c>
      <c r="E523" t="str">
        <f t="shared" si="43"/>
        <v>414</v>
      </c>
      <c r="F523" t="str">
        <f t="shared" si="44"/>
        <v>Potential Loyalists</v>
      </c>
      <c r="J523">
        <f t="shared" si="45"/>
        <v>4</v>
      </c>
      <c r="K523">
        <f t="shared" si="46"/>
        <v>1</v>
      </c>
      <c r="L523">
        <f t="shared" si="47"/>
        <v>4</v>
      </c>
    </row>
    <row r="524" spans="1:12" x14ac:dyDescent="0.35">
      <c r="A524">
        <v>6077</v>
      </c>
      <c r="B524" s="3">
        <f>H$6-_xlfn.MAXIFS(Table1[PurchaseDate],Table1[CustomerID],A524)</f>
        <v>55</v>
      </c>
      <c r="C524">
        <f>COUNTIF(Table1[CustomerID],A524)</f>
        <v>1</v>
      </c>
      <c r="D524" s="12">
        <f>SUMIF(Table1[CustomerID],A524,Table1[TransactionAmount])</f>
        <v>516.19000000000005</v>
      </c>
      <c r="E524" t="str">
        <f t="shared" si="43"/>
        <v>113</v>
      </c>
      <c r="F524" t="str">
        <f t="shared" si="44"/>
        <v>Needs Attention</v>
      </c>
      <c r="J524">
        <f t="shared" si="45"/>
        <v>1</v>
      </c>
      <c r="K524">
        <f t="shared" si="46"/>
        <v>1</v>
      </c>
      <c r="L524">
        <f t="shared" si="47"/>
        <v>3</v>
      </c>
    </row>
    <row r="525" spans="1:12" x14ac:dyDescent="0.35">
      <c r="A525">
        <v>6085</v>
      </c>
      <c r="B525" s="3">
        <f>H$6-_xlfn.MAXIFS(Table1[PurchaseDate],Table1[CustomerID],A525)</f>
        <v>46</v>
      </c>
      <c r="C525">
        <f>COUNTIF(Table1[CustomerID],A525)</f>
        <v>1</v>
      </c>
      <c r="D525" s="12">
        <f>SUMIF(Table1[CustomerID],A525,Table1[TransactionAmount])</f>
        <v>808.5</v>
      </c>
      <c r="E525" t="str">
        <f t="shared" si="43"/>
        <v>214</v>
      </c>
      <c r="F525" t="str">
        <f t="shared" si="44"/>
        <v>Needs Attention</v>
      </c>
      <c r="J525">
        <f t="shared" si="45"/>
        <v>2</v>
      </c>
      <c r="K525">
        <f t="shared" si="46"/>
        <v>1</v>
      </c>
      <c r="L525">
        <f t="shared" si="47"/>
        <v>4</v>
      </c>
    </row>
    <row r="526" spans="1:12" x14ac:dyDescent="0.35">
      <c r="A526">
        <v>6096</v>
      </c>
      <c r="B526" s="3">
        <f>H$6-_xlfn.MAXIFS(Table1[PurchaseDate],Table1[CustomerID],A526)</f>
        <v>54</v>
      </c>
      <c r="C526">
        <f>COUNTIF(Table1[CustomerID],A526)</f>
        <v>1</v>
      </c>
      <c r="D526" s="12">
        <f>SUMIF(Table1[CustomerID],A526,Table1[TransactionAmount])</f>
        <v>582.9</v>
      </c>
      <c r="E526" t="str">
        <f t="shared" si="43"/>
        <v>113</v>
      </c>
      <c r="F526" t="str">
        <f t="shared" si="44"/>
        <v>Needs Attention</v>
      </c>
      <c r="J526">
        <f t="shared" si="45"/>
        <v>1</v>
      </c>
      <c r="K526">
        <f t="shared" si="46"/>
        <v>1</v>
      </c>
      <c r="L526">
        <f t="shared" si="47"/>
        <v>3</v>
      </c>
    </row>
    <row r="527" spans="1:12" x14ac:dyDescent="0.35">
      <c r="A527">
        <v>6107</v>
      </c>
      <c r="B527" s="3">
        <f>H$6-_xlfn.MAXIFS(Table1[PurchaseDate],Table1[CustomerID],A527)</f>
        <v>35</v>
      </c>
      <c r="C527">
        <f>COUNTIF(Table1[CustomerID],A527)</f>
        <v>1</v>
      </c>
      <c r="D527" s="12">
        <f>SUMIF(Table1[CustomerID],A527,Table1[TransactionAmount])</f>
        <v>995.2</v>
      </c>
      <c r="E527" t="str">
        <f t="shared" si="43"/>
        <v>315</v>
      </c>
      <c r="F527" t="str">
        <f t="shared" si="44"/>
        <v>Potential Loyalists</v>
      </c>
      <c r="J527">
        <f t="shared" si="45"/>
        <v>3</v>
      </c>
      <c r="K527">
        <f t="shared" si="46"/>
        <v>1</v>
      </c>
      <c r="L527">
        <f t="shared" si="47"/>
        <v>5</v>
      </c>
    </row>
    <row r="528" spans="1:12" x14ac:dyDescent="0.35">
      <c r="A528">
        <v>6134</v>
      </c>
      <c r="B528" s="3">
        <f>H$6-_xlfn.MAXIFS(Table1[PurchaseDate],Table1[CustomerID],A528)</f>
        <v>20</v>
      </c>
      <c r="C528">
        <f>COUNTIF(Table1[CustomerID],A528)</f>
        <v>1</v>
      </c>
      <c r="D528" s="12">
        <f>SUMIF(Table1[CustomerID],A528,Table1[TransactionAmount])</f>
        <v>67.430000000000007</v>
      </c>
      <c r="E528" t="str">
        <f t="shared" si="43"/>
        <v>411</v>
      </c>
      <c r="F528" t="str">
        <f t="shared" si="44"/>
        <v>Needs Attention</v>
      </c>
      <c r="J528">
        <f t="shared" si="45"/>
        <v>4</v>
      </c>
      <c r="K528">
        <f t="shared" si="46"/>
        <v>1</v>
      </c>
      <c r="L528">
        <f t="shared" si="47"/>
        <v>1</v>
      </c>
    </row>
    <row r="529" spans="1:12" x14ac:dyDescent="0.35">
      <c r="A529">
        <v>6168</v>
      </c>
      <c r="B529" s="3">
        <f>H$6-_xlfn.MAXIFS(Table1[PurchaseDate],Table1[CustomerID],A529)</f>
        <v>35</v>
      </c>
      <c r="C529">
        <f>COUNTIF(Table1[CustomerID],A529)</f>
        <v>1</v>
      </c>
      <c r="D529" s="12">
        <f>SUMIF(Table1[CustomerID],A529,Table1[TransactionAmount])</f>
        <v>275.06</v>
      </c>
      <c r="E529" t="str">
        <f t="shared" si="43"/>
        <v>312</v>
      </c>
      <c r="F529" t="str">
        <f t="shared" si="44"/>
        <v>Needs Attention</v>
      </c>
      <c r="J529">
        <f t="shared" si="45"/>
        <v>3</v>
      </c>
      <c r="K529">
        <f t="shared" si="46"/>
        <v>1</v>
      </c>
      <c r="L529">
        <f t="shared" si="47"/>
        <v>2</v>
      </c>
    </row>
    <row r="530" spans="1:12" x14ac:dyDescent="0.35">
      <c r="A530">
        <v>6169</v>
      </c>
      <c r="B530" s="3">
        <f>H$6-_xlfn.MAXIFS(Table1[PurchaseDate],Table1[CustomerID],A530)</f>
        <v>53</v>
      </c>
      <c r="C530">
        <f>COUNTIF(Table1[CustomerID],A530)</f>
        <v>1</v>
      </c>
      <c r="D530" s="12">
        <f>SUMIF(Table1[CustomerID],A530,Table1[TransactionAmount])</f>
        <v>745.45</v>
      </c>
      <c r="E530" t="str">
        <f t="shared" si="43"/>
        <v>114</v>
      </c>
      <c r="F530" t="str">
        <f t="shared" si="44"/>
        <v>Needs Attention</v>
      </c>
      <c r="J530">
        <f t="shared" si="45"/>
        <v>1</v>
      </c>
      <c r="K530">
        <f t="shared" si="46"/>
        <v>1</v>
      </c>
      <c r="L530">
        <f t="shared" si="47"/>
        <v>4</v>
      </c>
    </row>
    <row r="531" spans="1:12" x14ac:dyDescent="0.35">
      <c r="A531">
        <v>6172</v>
      </c>
      <c r="B531" s="3">
        <f>H$6-_xlfn.MAXIFS(Table1[PurchaseDate],Table1[CustomerID],A531)</f>
        <v>34</v>
      </c>
      <c r="C531">
        <f>COUNTIF(Table1[CustomerID],A531)</f>
        <v>1</v>
      </c>
      <c r="D531" s="12">
        <f>SUMIF(Table1[CustomerID],A531,Table1[TransactionAmount])</f>
        <v>955.89</v>
      </c>
      <c r="E531" t="str">
        <f t="shared" si="43"/>
        <v>315</v>
      </c>
      <c r="F531" t="str">
        <f t="shared" si="44"/>
        <v>Potential Loyalists</v>
      </c>
      <c r="J531">
        <f t="shared" si="45"/>
        <v>3</v>
      </c>
      <c r="K531">
        <f t="shared" si="46"/>
        <v>1</v>
      </c>
      <c r="L531">
        <f t="shared" si="47"/>
        <v>5</v>
      </c>
    </row>
    <row r="532" spans="1:12" x14ac:dyDescent="0.35">
      <c r="A532">
        <v>6175</v>
      </c>
      <c r="B532" s="3">
        <f>H$6-_xlfn.MAXIFS(Table1[PurchaseDate],Table1[CustomerID],A532)</f>
        <v>34</v>
      </c>
      <c r="C532">
        <f>COUNTIF(Table1[CustomerID],A532)</f>
        <v>1</v>
      </c>
      <c r="D532" s="12">
        <f>SUMIF(Table1[CustomerID],A532,Table1[TransactionAmount])</f>
        <v>368.65</v>
      </c>
      <c r="E532" t="str">
        <f t="shared" si="43"/>
        <v>312</v>
      </c>
      <c r="F532" t="str">
        <f t="shared" si="44"/>
        <v>Needs Attention</v>
      </c>
      <c r="J532">
        <f t="shared" si="45"/>
        <v>3</v>
      </c>
      <c r="K532">
        <f t="shared" si="46"/>
        <v>1</v>
      </c>
      <c r="L532">
        <f t="shared" si="47"/>
        <v>2</v>
      </c>
    </row>
    <row r="533" spans="1:12" x14ac:dyDescent="0.35">
      <c r="A533">
        <v>6188</v>
      </c>
      <c r="B533" s="3">
        <f>H$6-_xlfn.MAXIFS(Table1[PurchaseDate],Table1[CustomerID],A533)</f>
        <v>37</v>
      </c>
      <c r="C533">
        <f>COUNTIF(Table1[CustomerID],A533)</f>
        <v>1</v>
      </c>
      <c r="D533" s="12">
        <f>SUMIF(Table1[CustomerID],A533,Table1[TransactionAmount])</f>
        <v>115.49</v>
      </c>
      <c r="E533" t="str">
        <f t="shared" si="43"/>
        <v>311</v>
      </c>
      <c r="F533" t="str">
        <f t="shared" si="44"/>
        <v>Needs Attention</v>
      </c>
      <c r="J533">
        <f t="shared" si="45"/>
        <v>3</v>
      </c>
      <c r="K533">
        <f t="shared" si="46"/>
        <v>1</v>
      </c>
      <c r="L533">
        <f t="shared" si="47"/>
        <v>1</v>
      </c>
    </row>
    <row r="534" spans="1:12" x14ac:dyDescent="0.35">
      <c r="A534">
        <v>6201</v>
      </c>
      <c r="B534" s="3">
        <f>H$6-_xlfn.MAXIFS(Table1[PurchaseDate],Table1[CustomerID],A534)</f>
        <v>56</v>
      </c>
      <c r="C534">
        <f>COUNTIF(Table1[CustomerID],A534)</f>
        <v>1</v>
      </c>
      <c r="D534" s="12">
        <f>SUMIF(Table1[CustomerID],A534,Table1[TransactionAmount])</f>
        <v>561.77</v>
      </c>
      <c r="E534" t="str">
        <f t="shared" si="43"/>
        <v>113</v>
      </c>
      <c r="F534" t="str">
        <f t="shared" si="44"/>
        <v>Needs Attention</v>
      </c>
      <c r="J534">
        <f t="shared" si="45"/>
        <v>1</v>
      </c>
      <c r="K534">
        <f t="shared" si="46"/>
        <v>1</v>
      </c>
      <c r="L534">
        <f t="shared" si="47"/>
        <v>3</v>
      </c>
    </row>
    <row r="535" spans="1:12" x14ac:dyDescent="0.35">
      <c r="A535">
        <v>6210</v>
      </c>
      <c r="B535" s="3">
        <f>H$6-_xlfn.MAXIFS(Table1[PurchaseDate],Table1[CustomerID],A535)</f>
        <v>9</v>
      </c>
      <c r="C535">
        <f>COUNTIF(Table1[CustomerID],A535)</f>
        <v>1</v>
      </c>
      <c r="D535" s="12">
        <f>SUMIF(Table1[CustomerID],A535,Table1[TransactionAmount])</f>
        <v>740.72</v>
      </c>
      <c r="E535" t="str">
        <f t="shared" si="43"/>
        <v>514</v>
      </c>
      <c r="F535" t="str">
        <f t="shared" si="44"/>
        <v>Potential Loyalists</v>
      </c>
      <c r="J535">
        <f t="shared" si="45"/>
        <v>5</v>
      </c>
      <c r="K535">
        <f t="shared" si="46"/>
        <v>1</v>
      </c>
      <c r="L535">
        <f t="shared" si="47"/>
        <v>4</v>
      </c>
    </row>
    <row r="536" spans="1:12" x14ac:dyDescent="0.35">
      <c r="A536">
        <v>6221</v>
      </c>
      <c r="B536" s="3">
        <f>H$6-_xlfn.MAXIFS(Table1[PurchaseDate],Table1[CustomerID],A536)</f>
        <v>44</v>
      </c>
      <c r="C536">
        <f>COUNTIF(Table1[CustomerID],A536)</f>
        <v>1</v>
      </c>
      <c r="D536" s="12">
        <f>SUMIF(Table1[CustomerID],A536,Table1[TransactionAmount])</f>
        <v>952.15</v>
      </c>
      <c r="E536" t="str">
        <f t="shared" si="43"/>
        <v>215</v>
      </c>
      <c r="F536" t="str">
        <f t="shared" si="44"/>
        <v>Needs Attention</v>
      </c>
      <c r="J536">
        <f t="shared" si="45"/>
        <v>2</v>
      </c>
      <c r="K536">
        <f t="shared" si="46"/>
        <v>1</v>
      </c>
      <c r="L536">
        <f t="shared" si="47"/>
        <v>5</v>
      </c>
    </row>
    <row r="537" spans="1:12" x14ac:dyDescent="0.35">
      <c r="A537">
        <v>6228</v>
      </c>
      <c r="B537" s="3">
        <f>H$6-_xlfn.MAXIFS(Table1[PurchaseDate],Table1[CustomerID],A537)</f>
        <v>45</v>
      </c>
      <c r="C537">
        <f>COUNTIF(Table1[CustomerID],A537)</f>
        <v>1</v>
      </c>
      <c r="D537" s="12">
        <f>SUMIF(Table1[CustomerID],A537,Table1[TransactionAmount])</f>
        <v>471.81</v>
      </c>
      <c r="E537" t="str">
        <f t="shared" si="43"/>
        <v>213</v>
      </c>
      <c r="F537" t="str">
        <f t="shared" si="44"/>
        <v>Needs Attention</v>
      </c>
      <c r="J537">
        <f t="shared" si="45"/>
        <v>2</v>
      </c>
      <c r="K537">
        <f t="shared" si="46"/>
        <v>1</v>
      </c>
      <c r="L537">
        <f t="shared" si="47"/>
        <v>3</v>
      </c>
    </row>
    <row r="538" spans="1:12" x14ac:dyDescent="0.35">
      <c r="A538">
        <v>6234</v>
      </c>
      <c r="B538" s="3">
        <f>H$6-_xlfn.MAXIFS(Table1[PurchaseDate],Table1[CustomerID],A538)</f>
        <v>50</v>
      </c>
      <c r="C538">
        <f>COUNTIF(Table1[CustomerID],A538)</f>
        <v>1</v>
      </c>
      <c r="D538" s="12">
        <f>SUMIF(Table1[CustomerID],A538,Table1[TransactionAmount])</f>
        <v>639.82000000000005</v>
      </c>
      <c r="E538" t="str">
        <f t="shared" si="43"/>
        <v>113</v>
      </c>
      <c r="F538" t="str">
        <f t="shared" si="44"/>
        <v>Needs Attention</v>
      </c>
      <c r="J538">
        <f t="shared" si="45"/>
        <v>1</v>
      </c>
      <c r="K538">
        <f t="shared" si="46"/>
        <v>1</v>
      </c>
      <c r="L538">
        <f t="shared" si="47"/>
        <v>3</v>
      </c>
    </row>
    <row r="539" spans="1:12" x14ac:dyDescent="0.35">
      <c r="A539">
        <v>6236</v>
      </c>
      <c r="B539" s="3">
        <f>H$6-_xlfn.MAXIFS(Table1[PurchaseDate],Table1[CustomerID],A539)</f>
        <v>17</v>
      </c>
      <c r="C539">
        <f>COUNTIF(Table1[CustomerID],A539)</f>
        <v>1</v>
      </c>
      <c r="D539" s="12">
        <f>SUMIF(Table1[CustomerID],A539,Table1[TransactionAmount])</f>
        <v>148.53</v>
      </c>
      <c r="E539" t="str">
        <f t="shared" si="43"/>
        <v>411</v>
      </c>
      <c r="F539" t="str">
        <f t="shared" si="44"/>
        <v>Needs Attention</v>
      </c>
      <c r="J539">
        <f t="shared" si="45"/>
        <v>4</v>
      </c>
      <c r="K539">
        <f t="shared" si="46"/>
        <v>1</v>
      </c>
      <c r="L539">
        <f t="shared" si="47"/>
        <v>1</v>
      </c>
    </row>
    <row r="540" spans="1:12" x14ac:dyDescent="0.35">
      <c r="A540">
        <v>6253</v>
      </c>
      <c r="B540" s="3">
        <f>H$6-_xlfn.MAXIFS(Table1[PurchaseDate],Table1[CustomerID],A540)</f>
        <v>45</v>
      </c>
      <c r="C540">
        <f>COUNTIF(Table1[CustomerID],A540)</f>
        <v>1</v>
      </c>
      <c r="D540" s="12">
        <f>SUMIF(Table1[CustomerID],A540,Table1[TransactionAmount])</f>
        <v>308.75</v>
      </c>
      <c r="E540" t="str">
        <f t="shared" si="43"/>
        <v>212</v>
      </c>
      <c r="F540" t="str">
        <f t="shared" si="44"/>
        <v>At Risk</v>
      </c>
      <c r="J540">
        <f t="shared" si="45"/>
        <v>2</v>
      </c>
      <c r="K540">
        <f t="shared" si="46"/>
        <v>1</v>
      </c>
      <c r="L540">
        <f t="shared" si="47"/>
        <v>2</v>
      </c>
    </row>
    <row r="541" spans="1:12" x14ac:dyDescent="0.35">
      <c r="A541">
        <v>6262</v>
      </c>
      <c r="B541" s="3">
        <f>H$6-_xlfn.MAXIFS(Table1[PurchaseDate],Table1[CustomerID],A541)</f>
        <v>54</v>
      </c>
      <c r="C541">
        <f>COUNTIF(Table1[CustomerID],A541)</f>
        <v>1</v>
      </c>
      <c r="D541" s="12">
        <f>SUMIF(Table1[CustomerID],A541,Table1[TransactionAmount])</f>
        <v>89.27</v>
      </c>
      <c r="E541" t="str">
        <f t="shared" si="43"/>
        <v>111</v>
      </c>
      <c r="F541" t="str">
        <f t="shared" si="44"/>
        <v>At Risk</v>
      </c>
      <c r="J541">
        <f t="shared" si="45"/>
        <v>1</v>
      </c>
      <c r="K541">
        <f t="shared" si="46"/>
        <v>1</v>
      </c>
      <c r="L541">
        <f t="shared" si="47"/>
        <v>1</v>
      </c>
    </row>
    <row r="542" spans="1:12" x14ac:dyDescent="0.35">
      <c r="A542">
        <v>6267</v>
      </c>
      <c r="B542" s="3">
        <f>H$6-_xlfn.MAXIFS(Table1[PurchaseDate],Table1[CustomerID],A542)</f>
        <v>22</v>
      </c>
      <c r="C542">
        <f>COUNTIF(Table1[CustomerID],A542)</f>
        <v>1</v>
      </c>
      <c r="D542" s="12">
        <f>SUMIF(Table1[CustomerID],A542,Table1[TransactionAmount])</f>
        <v>480.87</v>
      </c>
      <c r="E542" t="str">
        <f t="shared" si="43"/>
        <v>413</v>
      </c>
      <c r="F542" t="str">
        <f t="shared" si="44"/>
        <v>Potential Loyalists</v>
      </c>
      <c r="J542">
        <f t="shared" si="45"/>
        <v>4</v>
      </c>
      <c r="K542">
        <f t="shared" si="46"/>
        <v>1</v>
      </c>
      <c r="L542">
        <f t="shared" si="47"/>
        <v>3</v>
      </c>
    </row>
    <row r="543" spans="1:12" x14ac:dyDescent="0.35">
      <c r="A543">
        <v>6269</v>
      </c>
      <c r="B543" s="3">
        <f>H$6-_xlfn.MAXIFS(Table1[PurchaseDate],Table1[CustomerID],A543)</f>
        <v>11</v>
      </c>
      <c r="C543">
        <f>COUNTIF(Table1[CustomerID],A543)</f>
        <v>1</v>
      </c>
      <c r="D543" s="12">
        <f>SUMIF(Table1[CustomerID],A543,Table1[TransactionAmount])</f>
        <v>290.23</v>
      </c>
      <c r="E543" t="str">
        <f t="shared" si="43"/>
        <v>512</v>
      </c>
      <c r="F543" t="str">
        <f t="shared" si="44"/>
        <v>Needs Attention</v>
      </c>
      <c r="J543">
        <f t="shared" si="45"/>
        <v>5</v>
      </c>
      <c r="K543">
        <f t="shared" si="46"/>
        <v>1</v>
      </c>
      <c r="L543">
        <f t="shared" si="47"/>
        <v>2</v>
      </c>
    </row>
    <row r="544" spans="1:12" x14ac:dyDescent="0.35">
      <c r="A544">
        <v>6277</v>
      </c>
      <c r="B544" s="3">
        <f>H$6-_xlfn.MAXIFS(Table1[PurchaseDate],Table1[CustomerID],A544)</f>
        <v>22</v>
      </c>
      <c r="C544">
        <f>COUNTIF(Table1[CustomerID],A544)</f>
        <v>1</v>
      </c>
      <c r="D544" s="12">
        <f>SUMIF(Table1[CustomerID],A544,Table1[TransactionAmount])</f>
        <v>156.85</v>
      </c>
      <c r="E544" t="str">
        <f t="shared" si="43"/>
        <v>411</v>
      </c>
      <c r="F544" t="str">
        <f t="shared" si="44"/>
        <v>Needs Attention</v>
      </c>
      <c r="J544">
        <f t="shared" si="45"/>
        <v>4</v>
      </c>
      <c r="K544">
        <f t="shared" si="46"/>
        <v>1</v>
      </c>
      <c r="L544">
        <f t="shared" si="47"/>
        <v>1</v>
      </c>
    </row>
    <row r="545" spans="1:12" x14ac:dyDescent="0.35">
      <c r="A545">
        <v>6293</v>
      </c>
      <c r="B545" s="3">
        <f>H$6-_xlfn.MAXIFS(Table1[PurchaseDate],Table1[CustomerID],A545)</f>
        <v>50</v>
      </c>
      <c r="C545">
        <f>COUNTIF(Table1[CustomerID],A545)</f>
        <v>1</v>
      </c>
      <c r="D545" s="12">
        <f>SUMIF(Table1[CustomerID],A545,Table1[TransactionAmount])</f>
        <v>632.87</v>
      </c>
      <c r="E545" t="str">
        <f t="shared" si="43"/>
        <v>113</v>
      </c>
      <c r="F545" t="str">
        <f t="shared" si="44"/>
        <v>Needs Attention</v>
      </c>
      <c r="J545">
        <f t="shared" si="45"/>
        <v>1</v>
      </c>
      <c r="K545">
        <f t="shared" si="46"/>
        <v>1</v>
      </c>
      <c r="L545">
        <f t="shared" si="47"/>
        <v>3</v>
      </c>
    </row>
    <row r="546" spans="1:12" x14ac:dyDescent="0.35">
      <c r="A546">
        <v>6295</v>
      </c>
      <c r="B546" s="3">
        <f>H$6-_xlfn.MAXIFS(Table1[PurchaseDate],Table1[CustomerID],A546)</f>
        <v>5</v>
      </c>
      <c r="C546">
        <f>COUNTIF(Table1[CustomerID],A546)</f>
        <v>1</v>
      </c>
      <c r="D546" s="12">
        <f>SUMIF(Table1[CustomerID],A546,Table1[TransactionAmount])</f>
        <v>971.26</v>
      </c>
      <c r="E546" t="str">
        <f t="shared" si="43"/>
        <v>515</v>
      </c>
      <c r="F546" t="str">
        <f t="shared" si="44"/>
        <v>Potential Loyalists</v>
      </c>
      <c r="J546">
        <f t="shared" si="45"/>
        <v>5</v>
      </c>
      <c r="K546">
        <f t="shared" si="46"/>
        <v>1</v>
      </c>
      <c r="L546">
        <f t="shared" si="47"/>
        <v>5</v>
      </c>
    </row>
    <row r="547" spans="1:12" x14ac:dyDescent="0.35">
      <c r="A547">
        <v>6298</v>
      </c>
      <c r="B547" s="3">
        <f>H$6-_xlfn.MAXIFS(Table1[PurchaseDate],Table1[CustomerID],A547)</f>
        <v>17</v>
      </c>
      <c r="C547">
        <f>COUNTIF(Table1[CustomerID],A547)</f>
        <v>1</v>
      </c>
      <c r="D547" s="12">
        <f>SUMIF(Table1[CustomerID],A547,Table1[TransactionAmount])</f>
        <v>924.9</v>
      </c>
      <c r="E547" t="str">
        <f t="shared" si="43"/>
        <v>415</v>
      </c>
      <c r="F547" t="str">
        <f t="shared" si="44"/>
        <v>Potential Loyalists</v>
      </c>
      <c r="J547">
        <f t="shared" si="45"/>
        <v>4</v>
      </c>
      <c r="K547">
        <f t="shared" si="46"/>
        <v>1</v>
      </c>
      <c r="L547">
        <f t="shared" si="47"/>
        <v>5</v>
      </c>
    </row>
    <row r="548" spans="1:12" x14ac:dyDescent="0.35">
      <c r="A548">
        <v>6299</v>
      </c>
      <c r="B548" s="3">
        <f>H$6-_xlfn.MAXIFS(Table1[PurchaseDate],Table1[CustomerID],A548)</f>
        <v>32</v>
      </c>
      <c r="C548">
        <f>COUNTIF(Table1[CustomerID],A548)</f>
        <v>1</v>
      </c>
      <c r="D548" s="12">
        <f>SUMIF(Table1[CustomerID],A548,Table1[TransactionAmount])</f>
        <v>34.659999999999997</v>
      </c>
      <c r="E548" t="str">
        <f t="shared" si="43"/>
        <v>311</v>
      </c>
      <c r="F548" t="str">
        <f t="shared" si="44"/>
        <v>Needs Attention</v>
      </c>
      <c r="J548">
        <f t="shared" si="45"/>
        <v>3</v>
      </c>
      <c r="K548">
        <f t="shared" si="46"/>
        <v>1</v>
      </c>
      <c r="L548">
        <f t="shared" si="47"/>
        <v>1</v>
      </c>
    </row>
    <row r="549" spans="1:12" x14ac:dyDescent="0.35">
      <c r="A549">
        <v>6302</v>
      </c>
      <c r="B549" s="3">
        <f>H$6-_xlfn.MAXIFS(Table1[PurchaseDate],Table1[CustomerID],A549)</f>
        <v>15</v>
      </c>
      <c r="C549">
        <f>COUNTIF(Table1[CustomerID],A549)</f>
        <v>1</v>
      </c>
      <c r="D549" s="12">
        <f>SUMIF(Table1[CustomerID],A549,Table1[TransactionAmount])</f>
        <v>299.70999999999998</v>
      </c>
      <c r="E549" t="str">
        <f t="shared" si="43"/>
        <v>412</v>
      </c>
      <c r="F549" t="str">
        <f t="shared" si="44"/>
        <v>Needs Attention</v>
      </c>
      <c r="J549">
        <f t="shared" si="45"/>
        <v>4</v>
      </c>
      <c r="K549">
        <f t="shared" si="46"/>
        <v>1</v>
      </c>
      <c r="L549">
        <f t="shared" si="47"/>
        <v>2</v>
      </c>
    </row>
    <row r="550" spans="1:12" x14ac:dyDescent="0.35">
      <c r="A550">
        <v>6303</v>
      </c>
      <c r="B550" s="3">
        <f>H$6-_xlfn.MAXIFS(Table1[PurchaseDate],Table1[CustomerID],A550)</f>
        <v>14</v>
      </c>
      <c r="C550">
        <f>COUNTIF(Table1[CustomerID],A550)</f>
        <v>1</v>
      </c>
      <c r="D550" s="12">
        <f>SUMIF(Table1[CustomerID],A550,Table1[TransactionAmount])</f>
        <v>473.71</v>
      </c>
      <c r="E550" t="str">
        <f t="shared" si="43"/>
        <v>413</v>
      </c>
      <c r="F550" t="str">
        <f t="shared" si="44"/>
        <v>Potential Loyalists</v>
      </c>
      <c r="J550">
        <f t="shared" si="45"/>
        <v>4</v>
      </c>
      <c r="K550">
        <f t="shared" si="46"/>
        <v>1</v>
      </c>
      <c r="L550">
        <f t="shared" si="47"/>
        <v>3</v>
      </c>
    </row>
    <row r="551" spans="1:12" x14ac:dyDescent="0.35">
      <c r="A551">
        <v>6319</v>
      </c>
      <c r="B551" s="3">
        <f>H$6-_xlfn.MAXIFS(Table1[PurchaseDate],Table1[CustomerID],A551)</f>
        <v>6</v>
      </c>
      <c r="C551">
        <f>COUNTIF(Table1[CustomerID],A551)</f>
        <v>1</v>
      </c>
      <c r="D551" s="12">
        <f>SUMIF(Table1[CustomerID],A551,Table1[TransactionAmount])</f>
        <v>378</v>
      </c>
      <c r="E551" t="str">
        <f t="shared" si="43"/>
        <v>512</v>
      </c>
      <c r="F551" t="str">
        <f t="shared" si="44"/>
        <v>Needs Attention</v>
      </c>
      <c r="J551">
        <f t="shared" si="45"/>
        <v>5</v>
      </c>
      <c r="K551">
        <f t="shared" si="46"/>
        <v>1</v>
      </c>
      <c r="L551">
        <f t="shared" si="47"/>
        <v>2</v>
      </c>
    </row>
    <row r="552" spans="1:12" x14ac:dyDescent="0.35">
      <c r="A552">
        <v>6323</v>
      </c>
      <c r="B552" s="3">
        <f>H$6-_xlfn.MAXIFS(Table1[PurchaseDate],Table1[CustomerID],A552)</f>
        <v>5</v>
      </c>
      <c r="C552">
        <f>COUNTIF(Table1[CustomerID],A552)</f>
        <v>1</v>
      </c>
      <c r="D552" s="12">
        <f>SUMIF(Table1[CustomerID],A552,Table1[TransactionAmount])</f>
        <v>462.97</v>
      </c>
      <c r="E552" t="str">
        <f t="shared" si="43"/>
        <v>513</v>
      </c>
      <c r="F552" t="str">
        <f t="shared" si="44"/>
        <v>Potential Loyalists</v>
      </c>
      <c r="J552">
        <f t="shared" si="45"/>
        <v>5</v>
      </c>
      <c r="K552">
        <f t="shared" si="46"/>
        <v>1</v>
      </c>
      <c r="L552">
        <f t="shared" si="47"/>
        <v>3</v>
      </c>
    </row>
    <row r="553" spans="1:12" x14ac:dyDescent="0.35">
      <c r="A553">
        <v>6327</v>
      </c>
      <c r="B553" s="3">
        <f>H$6-_xlfn.MAXIFS(Table1[PurchaseDate],Table1[CustomerID],A553)</f>
        <v>5</v>
      </c>
      <c r="C553">
        <f>COUNTIF(Table1[CustomerID],A553)</f>
        <v>1</v>
      </c>
      <c r="D553" s="12">
        <f>SUMIF(Table1[CustomerID],A553,Table1[TransactionAmount])</f>
        <v>284.12</v>
      </c>
      <c r="E553" t="str">
        <f t="shared" si="43"/>
        <v>512</v>
      </c>
      <c r="F553" t="str">
        <f t="shared" si="44"/>
        <v>Needs Attention</v>
      </c>
      <c r="J553">
        <f t="shared" si="45"/>
        <v>5</v>
      </c>
      <c r="K553">
        <f t="shared" si="46"/>
        <v>1</v>
      </c>
      <c r="L553">
        <f t="shared" si="47"/>
        <v>2</v>
      </c>
    </row>
    <row r="554" spans="1:12" x14ac:dyDescent="0.35">
      <c r="A554">
        <v>6328</v>
      </c>
      <c r="B554" s="3">
        <f>H$6-_xlfn.MAXIFS(Table1[PurchaseDate],Table1[CustomerID],A554)</f>
        <v>5</v>
      </c>
      <c r="C554">
        <f>COUNTIF(Table1[CustomerID],A554)</f>
        <v>1</v>
      </c>
      <c r="D554" s="12">
        <f>SUMIF(Table1[CustomerID],A554,Table1[TransactionAmount])</f>
        <v>481.39</v>
      </c>
      <c r="E554" t="str">
        <f t="shared" si="43"/>
        <v>513</v>
      </c>
      <c r="F554" t="str">
        <f t="shared" si="44"/>
        <v>Potential Loyalists</v>
      </c>
      <c r="J554">
        <f t="shared" si="45"/>
        <v>5</v>
      </c>
      <c r="K554">
        <f t="shared" si="46"/>
        <v>1</v>
      </c>
      <c r="L554">
        <f t="shared" si="47"/>
        <v>3</v>
      </c>
    </row>
    <row r="555" spans="1:12" x14ac:dyDescent="0.35">
      <c r="A555">
        <v>6344</v>
      </c>
      <c r="B555" s="3">
        <f>H$6-_xlfn.MAXIFS(Table1[PurchaseDate],Table1[CustomerID],A555)</f>
        <v>35</v>
      </c>
      <c r="C555">
        <f>COUNTIF(Table1[CustomerID],A555)</f>
        <v>1</v>
      </c>
      <c r="D555" s="12">
        <f>SUMIF(Table1[CustomerID],A555,Table1[TransactionAmount])</f>
        <v>700.24</v>
      </c>
      <c r="E555" t="str">
        <f t="shared" si="43"/>
        <v>314</v>
      </c>
      <c r="F555" t="str">
        <f t="shared" si="44"/>
        <v>Potential Loyalists</v>
      </c>
      <c r="J555">
        <f t="shared" si="45"/>
        <v>3</v>
      </c>
      <c r="K555">
        <f t="shared" si="46"/>
        <v>1</v>
      </c>
      <c r="L555">
        <f t="shared" si="47"/>
        <v>4</v>
      </c>
    </row>
    <row r="556" spans="1:12" x14ac:dyDescent="0.35">
      <c r="A556">
        <v>6345</v>
      </c>
      <c r="B556" s="3">
        <f>H$6-_xlfn.MAXIFS(Table1[PurchaseDate],Table1[CustomerID],A556)</f>
        <v>40</v>
      </c>
      <c r="C556">
        <f>COUNTIF(Table1[CustomerID],A556)</f>
        <v>1</v>
      </c>
      <c r="D556" s="12">
        <f>SUMIF(Table1[CustomerID],A556,Table1[TransactionAmount])</f>
        <v>458.23</v>
      </c>
      <c r="E556" t="str">
        <f t="shared" si="43"/>
        <v>213</v>
      </c>
      <c r="F556" t="str">
        <f t="shared" si="44"/>
        <v>Needs Attention</v>
      </c>
      <c r="J556">
        <f t="shared" si="45"/>
        <v>2</v>
      </c>
      <c r="K556">
        <f t="shared" si="46"/>
        <v>1</v>
      </c>
      <c r="L556">
        <f t="shared" si="47"/>
        <v>3</v>
      </c>
    </row>
    <row r="557" spans="1:12" x14ac:dyDescent="0.35">
      <c r="A557">
        <v>6347</v>
      </c>
      <c r="B557" s="3">
        <f>H$6-_xlfn.MAXIFS(Table1[PurchaseDate],Table1[CustomerID],A557)</f>
        <v>59</v>
      </c>
      <c r="C557">
        <f>COUNTIF(Table1[CustomerID],A557)</f>
        <v>1</v>
      </c>
      <c r="D557" s="12">
        <f>SUMIF(Table1[CustomerID],A557,Table1[TransactionAmount])</f>
        <v>637.78</v>
      </c>
      <c r="E557" t="str">
        <f t="shared" si="43"/>
        <v>113</v>
      </c>
      <c r="F557" t="str">
        <f t="shared" si="44"/>
        <v>Needs Attention</v>
      </c>
      <c r="J557">
        <f t="shared" si="45"/>
        <v>1</v>
      </c>
      <c r="K557">
        <f t="shared" si="46"/>
        <v>1</v>
      </c>
      <c r="L557">
        <f t="shared" si="47"/>
        <v>3</v>
      </c>
    </row>
    <row r="558" spans="1:12" x14ac:dyDescent="0.35">
      <c r="A558">
        <v>6354</v>
      </c>
      <c r="B558" s="3">
        <f>H$6-_xlfn.MAXIFS(Table1[PurchaseDate],Table1[CustomerID],A558)</f>
        <v>28</v>
      </c>
      <c r="C558">
        <f>COUNTIF(Table1[CustomerID],A558)</f>
        <v>1</v>
      </c>
      <c r="D558" s="12">
        <f>SUMIF(Table1[CustomerID],A558,Table1[TransactionAmount])</f>
        <v>700.79</v>
      </c>
      <c r="E558" t="str">
        <f t="shared" si="43"/>
        <v>314</v>
      </c>
      <c r="F558" t="str">
        <f t="shared" si="44"/>
        <v>Potential Loyalists</v>
      </c>
      <c r="J558">
        <f t="shared" si="45"/>
        <v>3</v>
      </c>
      <c r="K558">
        <f t="shared" si="46"/>
        <v>1</v>
      </c>
      <c r="L558">
        <f t="shared" si="47"/>
        <v>4</v>
      </c>
    </row>
    <row r="559" spans="1:12" x14ac:dyDescent="0.35">
      <c r="A559">
        <v>6363</v>
      </c>
      <c r="B559" s="3">
        <f>H$6-_xlfn.MAXIFS(Table1[PurchaseDate],Table1[CustomerID],A559)</f>
        <v>47</v>
      </c>
      <c r="C559">
        <f>COUNTIF(Table1[CustomerID],A559)</f>
        <v>1</v>
      </c>
      <c r="D559" s="12">
        <f>SUMIF(Table1[CustomerID],A559,Table1[TransactionAmount])</f>
        <v>460.15</v>
      </c>
      <c r="E559" t="str">
        <f t="shared" si="43"/>
        <v>213</v>
      </c>
      <c r="F559" t="str">
        <f t="shared" si="44"/>
        <v>Needs Attention</v>
      </c>
      <c r="J559">
        <f t="shared" si="45"/>
        <v>2</v>
      </c>
      <c r="K559">
        <f t="shared" si="46"/>
        <v>1</v>
      </c>
      <c r="L559">
        <f t="shared" si="47"/>
        <v>3</v>
      </c>
    </row>
    <row r="560" spans="1:12" x14ac:dyDescent="0.35">
      <c r="A560">
        <v>6381</v>
      </c>
      <c r="B560" s="3">
        <f>H$6-_xlfn.MAXIFS(Table1[PurchaseDate],Table1[CustomerID],A560)</f>
        <v>8</v>
      </c>
      <c r="C560">
        <f>COUNTIF(Table1[CustomerID],A560)</f>
        <v>1</v>
      </c>
      <c r="D560" s="12">
        <f>SUMIF(Table1[CustomerID],A560,Table1[TransactionAmount])</f>
        <v>136.52000000000001</v>
      </c>
      <c r="E560" t="str">
        <f t="shared" si="43"/>
        <v>511</v>
      </c>
      <c r="F560" t="str">
        <f t="shared" si="44"/>
        <v>Needs Attention</v>
      </c>
      <c r="J560">
        <f t="shared" si="45"/>
        <v>5</v>
      </c>
      <c r="K560">
        <f t="shared" si="46"/>
        <v>1</v>
      </c>
      <c r="L560">
        <f t="shared" si="47"/>
        <v>1</v>
      </c>
    </row>
    <row r="561" spans="1:12" x14ac:dyDescent="0.35">
      <c r="A561">
        <v>6383</v>
      </c>
      <c r="B561" s="3">
        <f>H$6-_xlfn.MAXIFS(Table1[PurchaseDate],Table1[CustomerID],A561)</f>
        <v>6</v>
      </c>
      <c r="C561">
        <f>COUNTIF(Table1[CustomerID],A561)</f>
        <v>1</v>
      </c>
      <c r="D561" s="12">
        <f>SUMIF(Table1[CustomerID],A561,Table1[TransactionAmount])</f>
        <v>677.61</v>
      </c>
      <c r="E561" t="str">
        <f t="shared" si="43"/>
        <v>514</v>
      </c>
      <c r="F561" t="str">
        <f t="shared" si="44"/>
        <v>Potential Loyalists</v>
      </c>
      <c r="J561">
        <f t="shared" si="45"/>
        <v>5</v>
      </c>
      <c r="K561">
        <f t="shared" si="46"/>
        <v>1</v>
      </c>
      <c r="L561">
        <f t="shared" si="47"/>
        <v>4</v>
      </c>
    </row>
    <row r="562" spans="1:12" x14ac:dyDescent="0.35">
      <c r="A562">
        <v>6399</v>
      </c>
      <c r="B562" s="3">
        <f>H$6-_xlfn.MAXIFS(Table1[PurchaseDate],Table1[CustomerID],A562)</f>
        <v>32</v>
      </c>
      <c r="C562">
        <f>COUNTIF(Table1[CustomerID],A562)</f>
        <v>1</v>
      </c>
      <c r="D562" s="12">
        <f>SUMIF(Table1[CustomerID],A562,Table1[TransactionAmount])</f>
        <v>341.39</v>
      </c>
      <c r="E562" t="str">
        <f t="shared" si="43"/>
        <v>312</v>
      </c>
      <c r="F562" t="str">
        <f t="shared" si="44"/>
        <v>Needs Attention</v>
      </c>
      <c r="J562">
        <f t="shared" si="45"/>
        <v>3</v>
      </c>
      <c r="K562">
        <f t="shared" si="46"/>
        <v>1</v>
      </c>
      <c r="L562">
        <f t="shared" si="47"/>
        <v>2</v>
      </c>
    </row>
    <row r="563" spans="1:12" x14ac:dyDescent="0.35">
      <c r="A563">
        <v>6400</v>
      </c>
      <c r="B563" s="3">
        <f>H$6-_xlfn.MAXIFS(Table1[PurchaseDate],Table1[CustomerID],A563)</f>
        <v>18</v>
      </c>
      <c r="C563">
        <f>COUNTIF(Table1[CustomerID],A563)</f>
        <v>1</v>
      </c>
      <c r="D563" s="12">
        <f>SUMIF(Table1[CustomerID],A563,Table1[TransactionAmount])</f>
        <v>131.01</v>
      </c>
      <c r="E563" t="str">
        <f t="shared" si="43"/>
        <v>411</v>
      </c>
      <c r="F563" t="str">
        <f t="shared" si="44"/>
        <v>Needs Attention</v>
      </c>
      <c r="J563">
        <f t="shared" si="45"/>
        <v>4</v>
      </c>
      <c r="K563">
        <f t="shared" si="46"/>
        <v>1</v>
      </c>
      <c r="L563">
        <f t="shared" si="47"/>
        <v>1</v>
      </c>
    </row>
    <row r="564" spans="1:12" x14ac:dyDescent="0.35">
      <c r="A564">
        <v>6411</v>
      </c>
      <c r="B564" s="3">
        <f>H$6-_xlfn.MAXIFS(Table1[PurchaseDate],Table1[CustomerID],A564)</f>
        <v>15</v>
      </c>
      <c r="C564">
        <f>COUNTIF(Table1[CustomerID],A564)</f>
        <v>1</v>
      </c>
      <c r="D564" s="12">
        <f>SUMIF(Table1[CustomerID],A564,Table1[TransactionAmount])</f>
        <v>477.68</v>
      </c>
      <c r="E564" t="str">
        <f t="shared" si="43"/>
        <v>413</v>
      </c>
      <c r="F564" t="str">
        <f t="shared" si="44"/>
        <v>Potential Loyalists</v>
      </c>
      <c r="J564">
        <f t="shared" si="45"/>
        <v>4</v>
      </c>
      <c r="K564">
        <f t="shared" si="46"/>
        <v>1</v>
      </c>
      <c r="L564">
        <f t="shared" si="47"/>
        <v>3</v>
      </c>
    </row>
    <row r="565" spans="1:12" x14ac:dyDescent="0.35">
      <c r="A565">
        <v>6416</v>
      </c>
      <c r="B565" s="3">
        <f>H$6-_xlfn.MAXIFS(Table1[PurchaseDate],Table1[CustomerID],A565)</f>
        <v>45</v>
      </c>
      <c r="C565">
        <f>COUNTIF(Table1[CustomerID],A565)</f>
        <v>1</v>
      </c>
      <c r="D565" s="12">
        <f>SUMIF(Table1[CustomerID],A565,Table1[TransactionAmount])</f>
        <v>12.71</v>
      </c>
      <c r="E565" t="str">
        <f t="shared" si="43"/>
        <v>211</v>
      </c>
      <c r="F565" t="str">
        <f t="shared" si="44"/>
        <v>At Risk</v>
      </c>
      <c r="J565">
        <f t="shared" si="45"/>
        <v>2</v>
      </c>
      <c r="K565">
        <f t="shared" si="46"/>
        <v>1</v>
      </c>
      <c r="L565">
        <f t="shared" si="47"/>
        <v>1</v>
      </c>
    </row>
    <row r="566" spans="1:12" x14ac:dyDescent="0.35">
      <c r="A566">
        <v>6420</v>
      </c>
      <c r="B566" s="3">
        <f>H$6-_xlfn.MAXIFS(Table1[PurchaseDate],Table1[CustomerID],A566)</f>
        <v>38</v>
      </c>
      <c r="C566">
        <f>COUNTIF(Table1[CustomerID],A566)</f>
        <v>1</v>
      </c>
      <c r="D566" s="12">
        <f>SUMIF(Table1[CustomerID],A566,Table1[TransactionAmount])</f>
        <v>136.93</v>
      </c>
      <c r="E566" t="str">
        <f t="shared" si="43"/>
        <v>211</v>
      </c>
      <c r="F566" t="str">
        <f t="shared" si="44"/>
        <v>At Risk</v>
      </c>
      <c r="J566">
        <f t="shared" si="45"/>
        <v>2</v>
      </c>
      <c r="K566">
        <f t="shared" si="46"/>
        <v>1</v>
      </c>
      <c r="L566">
        <f t="shared" si="47"/>
        <v>1</v>
      </c>
    </row>
    <row r="567" spans="1:12" x14ac:dyDescent="0.35">
      <c r="A567">
        <v>6431</v>
      </c>
      <c r="B567" s="3">
        <f>H$6-_xlfn.MAXIFS(Table1[PurchaseDate],Table1[CustomerID],A567)</f>
        <v>16</v>
      </c>
      <c r="C567">
        <f>COUNTIF(Table1[CustomerID],A567)</f>
        <v>1</v>
      </c>
      <c r="D567" s="12">
        <f>SUMIF(Table1[CustomerID],A567,Table1[TransactionAmount])</f>
        <v>245.2</v>
      </c>
      <c r="E567" t="str">
        <f t="shared" si="43"/>
        <v>412</v>
      </c>
      <c r="F567" t="str">
        <f t="shared" si="44"/>
        <v>Needs Attention</v>
      </c>
      <c r="J567">
        <f t="shared" si="45"/>
        <v>4</v>
      </c>
      <c r="K567">
        <f t="shared" si="46"/>
        <v>1</v>
      </c>
      <c r="L567">
        <f t="shared" si="47"/>
        <v>2</v>
      </c>
    </row>
    <row r="568" spans="1:12" x14ac:dyDescent="0.35">
      <c r="A568">
        <v>6432</v>
      </c>
      <c r="B568" s="3">
        <f>H$6-_xlfn.MAXIFS(Table1[PurchaseDate],Table1[CustomerID],A568)</f>
        <v>10</v>
      </c>
      <c r="C568">
        <f>COUNTIF(Table1[CustomerID],A568)</f>
        <v>1</v>
      </c>
      <c r="D568" s="12">
        <f>SUMIF(Table1[CustomerID],A568,Table1[TransactionAmount])</f>
        <v>436.15</v>
      </c>
      <c r="E568" t="str">
        <f t="shared" si="43"/>
        <v>512</v>
      </c>
      <c r="F568" t="str">
        <f t="shared" si="44"/>
        <v>Needs Attention</v>
      </c>
      <c r="J568">
        <f t="shared" si="45"/>
        <v>5</v>
      </c>
      <c r="K568">
        <f t="shared" si="46"/>
        <v>1</v>
      </c>
      <c r="L568">
        <f t="shared" si="47"/>
        <v>2</v>
      </c>
    </row>
    <row r="569" spans="1:12" x14ac:dyDescent="0.35">
      <c r="A569">
        <v>6439</v>
      </c>
      <c r="B569" s="3">
        <f>H$6-_xlfn.MAXIFS(Table1[PurchaseDate],Table1[CustomerID],A569)</f>
        <v>25</v>
      </c>
      <c r="C569">
        <f>COUNTIF(Table1[CustomerID],A569)</f>
        <v>1</v>
      </c>
      <c r="D569" s="12">
        <f>SUMIF(Table1[CustomerID],A569,Table1[TransactionAmount])</f>
        <v>769.74</v>
      </c>
      <c r="E569" t="str">
        <f t="shared" si="43"/>
        <v>314</v>
      </c>
      <c r="F569" t="str">
        <f t="shared" si="44"/>
        <v>Potential Loyalists</v>
      </c>
      <c r="J569">
        <f t="shared" si="45"/>
        <v>3</v>
      </c>
      <c r="K569">
        <f t="shared" si="46"/>
        <v>1</v>
      </c>
      <c r="L569">
        <f t="shared" si="47"/>
        <v>4</v>
      </c>
    </row>
    <row r="570" spans="1:12" x14ac:dyDescent="0.35">
      <c r="A570">
        <v>6447</v>
      </c>
      <c r="B570" s="3">
        <f>H$6-_xlfn.MAXIFS(Table1[PurchaseDate],Table1[CustomerID],A570)</f>
        <v>52</v>
      </c>
      <c r="C570">
        <f>COUNTIF(Table1[CustomerID],A570)</f>
        <v>1</v>
      </c>
      <c r="D570" s="12">
        <f>SUMIF(Table1[CustomerID],A570,Table1[TransactionAmount])</f>
        <v>53.89</v>
      </c>
      <c r="E570" t="str">
        <f t="shared" si="43"/>
        <v>111</v>
      </c>
      <c r="F570" t="str">
        <f t="shared" si="44"/>
        <v>At Risk</v>
      </c>
      <c r="J570">
        <f t="shared" si="45"/>
        <v>1</v>
      </c>
      <c r="K570">
        <f t="shared" si="46"/>
        <v>1</v>
      </c>
      <c r="L570">
        <f t="shared" si="47"/>
        <v>1</v>
      </c>
    </row>
    <row r="571" spans="1:12" x14ac:dyDescent="0.35">
      <c r="A571">
        <v>6478</v>
      </c>
      <c r="B571" s="3">
        <f>H$6-_xlfn.MAXIFS(Table1[PurchaseDate],Table1[CustomerID],A571)</f>
        <v>38</v>
      </c>
      <c r="C571">
        <f>COUNTIF(Table1[CustomerID],A571)</f>
        <v>1</v>
      </c>
      <c r="D571" s="12">
        <f>SUMIF(Table1[CustomerID],A571,Table1[TransactionAmount])</f>
        <v>880.99</v>
      </c>
      <c r="E571" t="str">
        <f t="shared" si="43"/>
        <v>215</v>
      </c>
      <c r="F571" t="str">
        <f t="shared" si="44"/>
        <v>Needs Attention</v>
      </c>
      <c r="J571">
        <f t="shared" si="45"/>
        <v>2</v>
      </c>
      <c r="K571">
        <f t="shared" si="46"/>
        <v>1</v>
      </c>
      <c r="L571">
        <f t="shared" si="47"/>
        <v>5</v>
      </c>
    </row>
    <row r="572" spans="1:12" x14ac:dyDescent="0.35">
      <c r="A572">
        <v>6482</v>
      </c>
      <c r="B572" s="3">
        <f>H$6-_xlfn.MAXIFS(Table1[PurchaseDate],Table1[CustomerID],A572)</f>
        <v>56</v>
      </c>
      <c r="C572">
        <f>COUNTIF(Table1[CustomerID],A572)</f>
        <v>1</v>
      </c>
      <c r="D572" s="12">
        <f>SUMIF(Table1[CustomerID],A572,Table1[TransactionAmount])</f>
        <v>336.39</v>
      </c>
      <c r="E572" t="str">
        <f t="shared" si="43"/>
        <v>112</v>
      </c>
      <c r="F572" t="str">
        <f t="shared" si="44"/>
        <v>At Risk</v>
      </c>
      <c r="J572">
        <f t="shared" si="45"/>
        <v>1</v>
      </c>
      <c r="K572">
        <f t="shared" si="46"/>
        <v>1</v>
      </c>
      <c r="L572">
        <f t="shared" si="47"/>
        <v>2</v>
      </c>
    </row>
    <row r="573" spans="1:12" x14ac:dyDescent="0.35">
      <c r="A573">
        <v>6499</v>
      </c>
      <c r="B573" s="3">
        <f>H$6-_xlfn.MAXIFS(Table1[PurchaseDate],Table1[CustomerID],A573)</f>
        <v>19</v>
      </c>
      <c r="C573">
        <f>COUNTIF(Table1[CustomerID],A573)</f>
        <v>1</v>
      </c>
      <c r="D573" s="12">
        <f>SUMIF(Table1[CustomerID],A573,Table1[TransactionAmount])</f>
        <v>98.41</v>
      </c>
      <c r="E573" t="str">
        <f t="shared" si="43"/>
        <v>411</v>
      </c>
      <c r="F573" t="str">
        <f t="shared" si="44"/>
        <v>Needs Attention</v>
      </c>
      <c r="J573">
        <f t="shared" si="45"/>
        <v>4</v>
      </c>
      <c r="K573">
        <f t="shared" si="46"/>
        <v>1</v>
      </c>
      <c r="L573">
        <f t="shared" si="47"/>
        <v>1</v>
      </c>
    </row>
    <row r="574" spans="1:12" x14ac:dyDescent="0.35">
      <c r="A574">
        <v>6502</v>
      </c>
      <c r="B574" s="3">
        <f>H$6-_xlfn.MAXIFS(Table1[PurchaseDate],Table1[CustomerID],A574)</f>
        <v>40</v>
      </c>
      <c r="C574">
        <f>COUNTIF(Table1[CustomerID],A574)</f>
        <v>1</v>
      </c>
      <c r="D574" s="12">
        <f>SUMIF(Table1[CustomerID],A574,Table1[TransactionAmount])</f>
        <v>894.1</v>
      </c>
      <c r="E574" t="str">
        <f t="shared" si="43"/>
        <v>215</v>
      </c>
      <c r="F574" t="str">
        <f t="shared" si="44"/>
        <v>Needs Attention</v>
      </c>
      <c r="J574">
        <f t="shared" si="45"/>
        <v>2</v>
      </c>
      <c r="K574">
        <f t="shared" si="46"/>
        <v>1</v>
      </c>
      <c r="L574">
        <f t="shared" si="47"/>
        <v>5</v>
      </c>
    </row>
    <row r="575" spans="1:12" x14ac:dyDescent="0.35">
      <c r="A575">
        <v>6517</v>
      </c>
      <c r="B575" s="3">
        <f>H$6-_xlfn.MAXIFS(Table1[PurchaseDate],Table1[CustomerID],A575)</f>
        <v>4</v>
      </c>
      <c r="C575">
        <f>COUNTIF(Table1[CustomerID],A575)</f>
        <v>1</v>
      </c>
      <c r="D575" s="12">
        <f>SUMIF(Table1[CustomerID],A575,Table1[TransactionAmount])</f>
        <v>768.64</v>
      </c>
      <c r="E575" t="str">
        <f t="shared" si="43"/>
        <v>514</v>
      </c>
      <c r="F575" t="str">
        <f t="shared" si="44"/>
        <v>Potential Loyalists</v>
      </c>
      <c r="J575">
        <f t="shared" si="45"/>
        <v>5</v>
      </c>
      <c r="K575">
        <f t="shared" si="46"/>
        <v>1</v>
      </c>
      <c r="L575">
        <f t="shared" si="47"/>
        <v>4</v>
      </c>
    </row>
    <row r="576" spans="1:12" x14ac:dyDescent="0.35">
      <c r="A576">
        <v>6542</v>
      </c>
      <c r="B576" s="3">
        <f>H$6-_xlfn.MAXIFS(Table1[PurchaseDate],Table1[CustomerID],A576)</f>
        <v>27</v>
      </c>
      <c r="C576">
        <f>COUNTIF(Table1[CustomerID],A576)</f>
        <v>1</v>
      </c>
      <c r="D576" s="12">
        <f>SUMIF(Table1[CustomerID],A576,Table1[TransactionAmount])</f>
        <v>527.87</v>
      </c>
      <c r="E576" t="str">
        <f t="shared" si="43"/>
        <v>313</v>
      </c>
      <c r="F576" t="str">
        <f t="shared" si="44"/>
        <v>Potential Loyalists</v>
      </c>
      <c r="J576">
        <f t="shared" si="45"/>
        <v>3</v>
      </c>
      <c r="K576">
        <f t="shared" si="46"/>
        <v>1</v>
      </c>
      <c r="L576">
        <f t="shared" si="47"/>
        <v>3</v>
      </c>
    </row>
    <row r="577" spans="1:12" x14ac:dyDescent="0.35">
      <c r="A577">
        <v>6544</v>
      </c>
      <c r="B577" s="3">
        <f>H$6-_xlfn.MAXIFS(Table1[PurchaseDate],Table1[CustomerID],A577)</f>
        <v>1</v>
      </c>
      <c r="C577">
        <f>COUNTIF(Table1[CustomerID],A577)</f>
        <v>1</v>
      </c>
      <c r="D577" s="12">
        <f>SUMIF(Table1[CustomerID],A577,Table1[TransactionAmount])</f>
        <v>969.96</v>
      </c>
      <c r="E577" t="str">
        <f t="shared" si="43"/>
        <v>515</v>
      </c>
      <c r="F577" t="str">
        <f t="shared" si="44"/>
        <v>Potential Loyalists</v>
      </c>
      <c r="J577">
        <f t="shared" si="45"/>
        <v>5</v>
      </c>
      <c r="K577">
        <f t="shared" si="46"/>
        <v>1</v>
      </c>
      <c r="L577">
        <f t="shared" si="47"/>
        <v>5</v>
      </c>
    </row>
    <row r="578" spans="1:12" x14ac:dyDescent="0.35">
      <c r="A578">
        <v>6549</v>
      </c>
      <c r="B578" s="3">
        <f>H$6-_xlfn.MAXIFS(Table1[PurchaseDate],Table1[CustomerID],A578)</f>
        <v>9</v>
      </c>
      <c r="C578">
        <f>COUNTIF(Table1[CustomerID],A578)</f>
        <v>1</v>
      </c>
      <c r="D578" s="12">
        <f>SUMIF(Table1[CustomerID],A578,Table1[TransactionAmount])</f>
        <v>124.02</v>
      </c>
      <c r="E578" t="str">
        <f t="shared" si="43"/>
        <v>511</v>
      </c>
      <c r="F578" t="str">
        <f t="shared" si="44"/>
        <v>Needs Attention</v>
      </c>
      <c r="J578">
        <f t="shared" si="45"/>
        <v>5</v>
      </c>
      <c r="K578">
        <f t="shared" si="46"/>
        <v>1</v>
      </c>
      <c r="L578">
        <f t="shared" si="47"/>
        <v>1</v>
      </c>
    </row>
    <row r="579" spans="1:12" x14ac:dyDescent="0.35">
      <c r="A579">
        <v>6570</v>
      </c>
      <c r="B579" s="3">
        <f>H$6-_xlfn.MAXIFS(Table1[PurchaseDate],Table1[CustomerID],A579)</f>
        <v>0</v>
      </c>
      <c r="C579">
        <f>COUNTIF(Table1[CustomerID],A579)</f>
        <v>1</v>
      </c>
      <c r="D579" s="12">
        <f>SUMIF(Table1[CustomerID],A579,Table1[TransactionAmount])</f>
        <v>125.84</v>
      </c>
      <c r="E579" t="str">
        <f t="shared" si="43"/>
        <v>511</v>
      </c>
      <c r="F579" t="str">
        <f t="shared" si="44"/>
        <v>Needs Attention</v>
      </c>
      <c r="J579">
        <f t="shared" si="45"/>
        <v>5</v>
      </c>
      <c r="K579">
        <f t="shared" si="46"/>
        <v>1</v>
      </c>
      <c r="L579">
        <f t="shared" si="47"/>
        <v>1</v>
      </c>
    </row>
    <row r="580" spans="1:12" x14ac:dyDescent="0.35">
      <c r="A580">
        <v>6574</v>
      </c>
      <c r="B580" s="3">
        <f>H$6-_xlfn.MAXIFS(Table1[PurchaseDate],Table1[CustomerID],A580)</f>
        <v>43</v>
      </c>
      <c r="C580">
        <f>COUNTIF(Table1[CustomerID],A580)</f>
        <v>1</v>
      </c>
      <c r="D580" s="12">
        <f>SUMIF(Table1[CustomerID],A580,Table1[TransactionAmount])</f>
        <v>163.92</v>
      </c>
      <c r="E580" t="str">
        <f t="shared" ref="E580:E643" si="48">J580&amp;K580&amp;L580</f>
        <v>211</v>
      </c>
      <c r="F580" t="str">
        <f t="shared" ref="F580:F643" si="49">IF(AND(J580&gt;=4,K580&gt;=3,L580&gt;=4),"Champions",IF(AND(J580&gt;=3,K580&gt;=2,L580&gt;=3),"Loyal Customers",IF(AND(J580&gt;=3,L580&gt;=3),"Potential Loyalists",IF(AND(J580&lt;=2,L580&lt;=2),"At Risk","Needs Attention"))))</f>
        <v>At Risk</v>
      </c>
      <c r="J580">
        <f t="shared" ref="J580:J643" si="50">ROUNDUP((COUNT($B$3:$B$948)-_xlfn.RANK.EQ(B580,$B$3:$B$948,1)+1)/COUNT($B$3:$B$948)*5,0)</f>
        <v>2</v>
      </c>
      <c r="K580">
        <f t="shared" ref="K580:K643" si="51">IF(C580=1,1,IF(C580=2,3,IF(C580=3,4,5)))</f>
        <v>1</v>
      </c>
      <c r="L580">
        <f t="shared" ref="L580:L643" si="52">IF(D580&gt;=_xlfn.PERCENTILE.INC($D$3:$D$948,0.8),5,IF(D580&gt;=_xlfn.PERCENTILE.INC($D$3:$D$948,0.6),4,IF(D580&gt;=_xlfn.PERCENTILE.INC($D$3:$D$948,0.4),3,IF(D580&gt;=_xlfn.PERCENTILE.INC($D$3:$D$948,0.2),2,1))))</f>
        <v>1</v>
      </c>
    </row>
    <row r="581" spans="1:12" x14ac:dyDescent="0.35">
      <c r="A581">
        <v>6582</v>
      </c>
      <c r="B581" s="3">
        <f>H$6-_xlfn.MAXIFS(Table1[PurchaseDate],Table1[CustomerID],A581)</f>
        <v>15</v>
      </c>
      <c r="C581">
        <f>COUNTIF(Table1[CustomerID],A581)</f>
        <v>1</v>
      </c>
      <c r="D581" s="12">
        <f>SUMIF(Table1[CustomerID],A581,Table1[TransactionAmount])</f>
        <v>185.69</v>
      </c>
      <c r="E581" t="str">
        <f t="shared" si="48"/>
        <v>411</v>
      </c>
      <c r="F581" t="str">
        <f t="shared" si="49"/>
        <v>Needs Attention</v>
      </c>
      <c r="J581">
        <f t="shared" si="50"/>
        <v>4</v>
      </c>
      <c r="K581">
        <f t="shared" si="51"/>
        <v>1</v>
      </c>
      <c r="L581">
        <f t="shared" si="52"/>
        <v>1</v>
      </c>
    </row>
    <row r="582" spans="1:12" x14ac:dyDescent="0.35">
      <c r="A582">
        <v>6584</v>
      </c>
      <c r="B582" s="3">
        <f>H$6-_xlfn.MAXIFS(Table1[PurchaseDate],Table1[CustomerID],A582)</f>
        <v>37</v>
      </c>
      <c r="C582">
        <f>COUNTIF(Table1[CustomerID],A582)</f>
        <v>1</v>
      </c>
      <c r="D582" s="12">
        <f>SUMIF(Table1[CustomerID],A582,Table1[TransactionAmount])</f>
        <v>827.06</v>
      </c>
      <c r="E582" t="str">
        <f t="shared" si="48"/>
        <v>315</v>
      </c>
      <c r="F582" t="str">
        <f t="shared" si="49"/>
        <v>Potential Loyalists</v>
      </c>
      <c r="J582">
        <f t="shared" si="50"/>
        <v>3</v>
      </c>
      <c r="K582">
        <f t="shared" si="51"/>
        <v>1</v>
      </c>
      <c r="L582">
        <f t="shared" si="52"/>
        <v>5</v>
      </c>
    </row>
    <row r="583" spans="1:12" x14ac:dyDescent="0.35">
      <c r="A583">
        <v>6598</v>
      </c>
      <c r="B583" s="3">
        <f>H$6-_xlfn.MAXIFS(Table1[PurchaseDate],Table1[CustomerID],A583)</f>
        <v>0</v>
      </c>
      <c r="C583">
        <f>COUNTIF(Table1[CustomerID],A583)</f>
        <v>1</v>
      </c>
      <c r="D583" s="12">
        <f>SUMIF(Table1[CustomerID],A583,Table1[TransactionAmount])</f>
        <v>768.49</v>
      </c>
      <c r="E583" t="str">
        <f t="shared" si="48"/>
        <v>514</v>
      </c>
      <c r="F583" t="str">
        <f t="shared" si="49"/>
        <v>Potential Loyalists</v>
      </c>
      <c r="J583">
        <f t="shared" si="50"/>
        <v>5</v>
      </c>
      <c r="K583">
        <f t="shared" si="51"/>
        <v>1</v>
      </c>
      <c r="L583">
        <f t="shared" si="52"/>
        <v>4</v>
      </c>
    </row>
    <row r="584" spans="1:12" x14ac:dyDescent="0.35">
      <c r="A584">
        <v>6614</v>
      </c>
      <c r="B584" s="3">
        <f>H$6-_xlfn.MAXIFS(Table1[PurchaseDate],Table1[CustomerID],A584)</f>
        <v>34</v>
      </c>
      <c r="C584">
        <f>COUNTIF(Table1[CustomerID],A584)</f>
        <v>1</v>
      </c>
      <c r="D584" s="12">
        <f>SUMIF(Table1[CustomerID],A584,Table1[TransactionAmount])</f>
        <v>987.32</v>
      </c>
      <c r="E584" t="str">
        <f t="shared" si="48"/>
        <v>315</v>
      </c>
      <c r="F584" t="str">
        <f t="shared" si="49"/>
        <v>Potential Loyalists</v>
      </c>
      <c r="J584">
        <f t="shared" si="50"/>
        <v>3</v>
      </c>
      <c r="K584">
        <f t="shared" si="51"/>
        <v>1</v>
      </c>
      <c r="L584">
        <f t="shared" si="52"/>
        <v>5</v>
      </c>
    </row>
    <row r="585" spans="1:12" x14ac:dyDescent="0.35">
      <c r="A585">
        <v>6617</v>
      </c>
      <c r="B585" s="3">
        <f>H$6-_xlfn.MAXIFS(Table1[PurchaseDate],Table1[CustomerID],A585)</f>
        <v>42</v>
      </c>
      <c r="C585">
        <f>COUNTIF(Table1[CustomerID],A585)</f>
        <v>2</v>
      </c>
      <c r="D585" s="12">
        <f>SUMIF(Table1[CustomerID],A585,Table1[TransactionAmount])</f>
        <v>1148.94</v>
      </c>
      <c r="E585" t="str">
        <f t="shared" si="48"/>
        <v>235</v>
      </c>
      <c r="F585" t="str">
        <f t="shared" si="49"/>
        <v>Needs Attention</v>
      </c>
      <c r="J585">
        <f t="shared" si="50"/>
        <v>2</v>
      </c>
      <c r="K585">
        <f t="shared" si="51"/>
        <v>3</v>
      </c>
      <c r="L585">
        <f t="shared" si="52"/>
        <v>5</v>
      </c>
    </row>
    <row r="586" spans="1:12" x14ac:dyDescent="0.35">
      <c r="A586">
        <v>6621</v>
      </c>
      <c r="B586" s="3">
        <f>H$6-_xlfn.MAXIFS(Table1[PurchaseDate],Table1[CustomerID],A586)</f>
        <v>37</v>
      </c>
      <c r="C586">
        <f>COUNTIF(Table1[CustomerID],A586)</f>
        <v>1</v>
      </c>
      <c r="D586" s="12">
        <f>SUMIF(Table1[CustomerID],A586,Table1[TransactionAmount])</f>
        <v>192.07</v>
      </c>
      <c r="E586" t="str">
        <f t="shared" si="48"/>
        <v>311</v>
      </c>
      <c r="F586" t="str">
        <f t="shared" si="49"/>
        <v>Needs Attention</v>
      </c>
      <c r="J586">
        <f t="shared" si="50"/>
        <v>3</v>
      </c>
      <c r="K586">
        <f t="shared" si="51"/>
        <v>1</v>
      </c>
      <c r="L586">
        <f t="shared" si="52"/>
        <v>1</v>
      </c>
    </row>
    <row r="587" spans="1:12" x14ac:dyDescent="0.35">
      <c r="A587">
        <v>6633</v>
      </c>
      <c r="B587" s="3">
        <f>H$6-_xlfn.MAXIFS(Table1[PurchaseDate],Table1[CustomerID],A587)</f>
        <v>47</v>
      </c>
      <c r="C587">
        <f>COUNTIF(Table1[CustomerID],A587)</f>
        <v>1</v>
      </c>
      <c r="D587" s="12">
        <f>SUMIF(Table1[CustomerID],A587,Table1[TransactionAmount])</f>
        <v>418.53</v>
      </c>
      <c r="E587" t="str">
        <f t="shared" si="48"/>
        <v>212</v>
      </c>
      <c r="F587" t="str">
        <f t="shared" si="49"/>
        <v>At Risk</v>
      </c>
      <c r="J587">
        <f t="shared" si="50"/>
        <v>2</v>
      </c>
      <c r="K587">
        <f t="shared" si="51"/>
        <v>1</v>
      </c>
      <c r="L587">
        <f t="shared" si="52"/>
        <v>2</v>
      </c>
    </row>
    <row r="588" spans="1:12" x14ac:dyDescent="0.35">
      <c r="A588">
        <v>6634</v>
      </c>
      <c r="B588" s="3">
        <f>H$6-_xlfn.MAXIFS(Table1[PurchaseDate],Table1[CustomerID],A588)</f>
        <v>42</v>
      </c>
      <c r="C588">
        <f>COUNTIF(Table1[CustomerID],A588)</f>
        <v>1</v>
      </c>
      <c r="D588" s="12">
        <f>SUMIF(Table1[CustomerID],A588,Table1[TransactionAmount])</f>
        <v>474.51</v>
      </c>
      <c r="E588" t="str">
        <f t="shared" si="48"/>
        <v>213</v>
      </c>
      <c r="F588" t="str">
        <f t="shared" si="49"/>
        <v>Needs Attention</v>
      </c>
      <c r="J588">
        <f t="shared" si="50"/>
        <v>2</v>
      </c>
      <c r="K588">
        <f t="shared" si="51"/>
        <v>1</v>
      </c>
      <c r="L588">
        <f t="shared" si="52"/>
        <v>3</v>
      </c>
    </row>
    <row r="589" spans="1:12" x14ac:dyDescent="0.35">
      <c r="A589">
        <v>6638</v>
      </c>
      <c r="B589" s="3">
        <f>H$6-_xlfn.MAXIFS(Table1[PurchaseDate],Table1[CustomerID],A589)</f>
        <v>59</v>
      </c>
      <c r="C589">
        <f>COUNTIF(Table1[CustomerID],A589)</f>
        <v>1</v>
      </c>
      <c r="D589" s="12">
        <f>SUMIF(Table1[CustomerID],A589,Table1[TransactionAmount])</f>
        <v>417.64</v>
      </c>
      <c r="E589" t="str">
        <f t="shared" si="48"/>
        <v>112</v>
      </c>
      <c r="F589" t="str">
        <f t="shared" si="49"/>
        <v>At Risk</v>
      </c>
      <c r="J589">
        <f t="shared" si="50"/>
        <v>1</v>
      </c>
      <c r="K589">
        <f t="shared" si="51"/>
        <v>1</v>
      </c>
      <c r="L589">
        <f t="shared" si="52"/>
        <v>2</v>
      </c>
    </row>
    <row r="590" spans="1:12" x14ac:dyDescent="0.35">
      <c r="A590">
        <v>6644</v>
      </c>
      <c r="B590" s="3">
        <f>H$6-_xlfn.MAXIFS(Table1[PurchaseDate],Table1[CustomerID],A590)</f>
        <v>16</v>
      </c>
      <c r="C590">
        <f>COUNTIF(Table1[CustomerID],A590)</f>
        <v>1</v>
      </c>
      <c r="D590" s="12">
        <f>SUMIF(Table1[CustomerID],A590,Table1[TransactionAmount])</f>
        <v>73.12</v>
      </c>
      <c r="E590" t="str">
        <f t="shared" si="48"/>
        <v>411</v>
      </c>
      <c r="F590" t="str">
        <f t="shared" si="49"/>
        <v>Needs Attention</v>
      </c>
      <c r="J590">
        <f t="shared" si="50"/>
        <v>4</v>
      </c>
      <c r="K590">
        <f t="shared" si="51"/>
        <v>1</v>
      </c>
      <c r="L590">
        <f t="shared" si="52"/>
        <v>1</v>
      </c>
    </row>
    <row r="591" spans="1:12" x14ac:dyDescent="0.35">
      <c r="A591">
        <v>6658</v>
      </c>
      <c r="B591" s="3">
        <f>H$6-_xlfn.MAXIFS(Table1[PurchaseDate],Table1[CustomerID],A591)</f>
        <v>35</v>
      </c>
      <c r="C591">
        <f>COUNTIF(Table1[CustomerID],A591)</f>
        <v>1</v>
      </c>
      <c r="D591" s="12">
        <f>SUMIF(Table1[CustomerID],A591,Table1[TransactionAmount])</f>
        <v>139.46</v>
      </c>
      <c r="E591" t="str">
        <f t="shared" si="48"/>
        <v>311</v>
      </c>
      <c r="F591" t="str">
        <f t="shared" si="49"/>
        <v>Needs Attention</v>
      </c>
      <c r="J591">
        <f t="shared" si="50"/>
        <v>3</v>
      </c>
      <c r="K591">
        <f t="shared" si="51"/>
        <v>1</v>
      </c>
      <c r="L591">
        <f t="shared" si="52"/>
        <v>1</v>
      </c>
    </row>
    <row r="592" spans="1:12" x14ac:dyDescent="0.35">
      <c r="A592">
        <v>6661</v>
      </c>
      <c r="B592" s="3">
        <f>H$6-_xlfn.MAXIFS(Table1[PurchaseDate],Table1[CustomerID],A592)</f>
        <v>23</v>
      </c>
      <c r="C592">
        <f>COUNTIF(Table1[CustomerID],A592)</f>
        <v>1</v>
      </c>
      <c r="D592" s="12">
        <f>SUMIF(Table1[CustomerID],A592,Table1[TransactionAmount])</f>
        <v>306.16000000000003</v>
      </c>
      <c r="E592" t="str">
        <f t="shared" si="48"/>
        <v>412</v>
      </c>
      <c r="F592" t="str">
        <f t="shared" si="49"/>
        <v>Needs Attention</v>
      </c>
      <c r="J592">
        <f t="shared" si="50"/>
        <v>4</v>
      </c>
      <c r="K592">
        <f t="shared" si="51"/>
        <v>1</v>
      </c>
      <c r="L592">
        <f t="shared" si="52"/>
        <v>2</v>
      </c>
    </row>
    <row r="593" spans="1:12" x14ac:dyDescent="0.35">
      <c r="A593">
        <v>6669</v>
      </c>
      <c r="B593" s="3">
        <f>H$6-_xlfn.MAXIFS(Table1[PurchaseDate],Table1[CustomerID],A593)</f>
        <v>0</v>
      </c>
      <c r="C593">
        <f>COUNTIF(Table1[CustomerID],A593)</f>
        <v>1</v>
      </c>
      <c r="D593" s="12">
        <f>SUMIF(Table1[CustomerID],A593,Table1[TransactionAmount])</f>
        <v>941.5</v>
      </c>
      <c r="E593" t="str">
        <f t="shared" si="48"/>
        <v>515</v>
      </c>
      <c r="F593" t="str">
        <f t="shared" si="49"/>
        <v>Potential Loyalists</v>
      </c>
      <c r="J593">
        <f t="shared" si="50"/>
        <v>5</v>
      </c>
      <c r="K593">
        <f t="shared" si="51"/>
        <v>1</v>
      </c>
      <c r="L593">
        <f t="shared" si="52"/>
        <v>5</v>
      </c>
    </row>
    <row r="594" spans="1:12" x14ac:dyDescent="0.35">
      <c r="A594">
        <v>6688</v>
      </c>
      <c r="B594" s="3">
        <f>H$6-_xlfn.MAXIFS(Table1[PurchaseDate],Table1[CustomerID],A594)</f>
        <v>26</v>
      </c>
      <c r="C594">
        <f>COUNTIF(Table1[CustomerID],A594)</f>
        <v>1</v>
      </c>
      <c r="D594" s="12">
        <f>SUMIF(Table1[CustomerID],A594,Table1[TransactionAmount])</f>
        <v>434.09</v>
      </c>
      <c r="E594" t="str">
        <f t="shared" si="48"/>
        <v>312</v>
      </c>
      <c r="F594" t="str">
        <f t="shared" si="49"/>
        <v>Needs Attention</v>
      </c>
      <c r="J594">
        <f t="shared" si="50"/>
        <v>3</v>
      </c>
      <c r="K594">
        <f t="shared" si="51"/>
        <v>1</v>
      </c>
      <c r="L594">
        <f t="shared" si="52"/>
        <v>2</v>
      </c>
    </row>
    <row r="595" spans="1:12" x14ac:dyDescent="0.35">
      <c r="A595">
        <v>6703</v>
      </c>
      <c r="B595" s="3">
        <f>H$6-_xlfn.MAXIFS(Table1[PurchaseDate],Table1[CustomerID],A595)</f>
        <v>38</v>
      </c>
      <c r="C595">
        <f>COUNTIF(Table1[CustomerID],A595)</f>
        <v>1</v>
      </c>
      <c r="D595" s="12">
        <f>SUMIF(Table1[CustomerID],A595,Table1[TransactionAmount])</f>
        <v>963.65</v>
      </c>
      <c r="E595" t="str">
        <f t="shared" si="48"/>
        <v>215</v>
      </c>
      <c r="F595" t="str">
        <f t="shared" si="49"/>
        <v>Needs Attention</v>
      </c>
      <c r="J595">
        <f t="shared" si="50"/>
        <v>2</v>
      </c>
      <c r="K595">
        <f t="shared" si="51"/>
        <v>1</v>
      </c>
      <c r="L595">
        <f t="shared" si="52"/>
        <v>5</v>
      </c>
    </row>
    <row r="596" spans="1:12" x14ac:dyDescent="0.35">
      <c r="A596">
        <v>6706</v>
      </c>
      <c r="B596" s="3">
        <f>H$6-_xlfn.MAXIFS(Table1[PurchaseDate],Table1[CustomerID],A596)</f>
        <v>30</v>
      </c>
      <c r="C596">
        <f>COUNTIF(Table1[CustomerID],A596)</f>
        <v>1</v>
      </c>
      <c r="D596" s="12">
        <f>SUMIF(Table1[CustomerID],A596,Table1[TransactionAmount])</f>
        <v>106.65</v>
      </c>
      <c r="E596" t="str">
        <f t="shared" si="48"/>
        <v>311</v>
      </c>
      <c r="F596" t="str">
        <f t="shared" si="49"/>
        <v>Needs Attention</v>
      </c>
      <c r="J596">
        <f t="shared" si="50"/>
        <v>3</v>
      </c>
      <c r="K596">
        <f t="shared" si="51"/>
        <v>1</v>
      </c>
      <c r="L596">
        <f t="shared" si="52"/>
        <v>1</v>
      </c>
    </row>
    <row r="597" spans="1:12" x14ac:dyDescent="0.35">
      <c r="A597">
        <v>6707</v>
      </c>
      <c r="B597" s="3">
        <f>H$6-_xlfn.MAXIFS(Table1[PurchaseDate],Table1[CustomerID],A597)</f>
        <v>41</v>
      </c>
      <c r="C597">
        <f>COUNTIF(Table1[CustomerID],A597)</f>
        <v>1</v>
      </c>
      <c r="D597" s="12">
        <f>SUMIF(Table1[CustomerID],A597,Table1[TransactionAmount])</f>
        <v>349.64</v>
      </c>
      <c r="E597" t="str">
        <f t="shared" si="48"/>
        <v>212</v>
      </c>
      <c r="F597" t="str">
        <f t="shared" si="49"/>
        <v>At Risk</v>
      </c>
      <c r="J597">
        <f t="shared" si="50"/>
        <v>2</v>
      </c>
      <c r="K597">
        <f t="shared" si="51"/>
        <v>1</v>
      </c>
      <c r="L597">
        <f t="shared" si="52"/>
        <v>2</v>
      </c>
    </row>
    <row r="598" spans="1:12" x14ac:dyDescent="0.35">
      <c r="A598">
        <v>6714</v>
      </c>
      <c r="B598" s="3">
        <f>H$6-_xlfn.MAXIFS(Table1[PurchaseDate],Table1[CustomerID],A598)</f>
        <v>25</v>
      </c>
      <c r="C598">
        <f>COUNTIF(Table1[CustomerID],A598)</f>
        <v>1</v>
      </c>
      <c r="D598" s="12">
        <f>SUMIF(Table1[CustomerID],A598,Table1[TransactionAmount])</f>
        <v>934.36</v>
      </c>
      <c r="E598" t="str">
        <f t="shared" si="48"/>
        <v>315</v>
      </c>
      <c r="F598" t="str">
        <f t="shared" si="49"/>
        <v>Potential Loyalists</v>
      </c>
      <c r="J598">
        <f t="shared" si="50"/>
        <v>3</v>
      </c>
      <c r="K598">
        <f t="shared" si="51"/>
        <v>1</v>
      </c>
      <c r="L598">
        <f t="shared" si="52"/>
        <v>5</v>
      </c>
    </row>
    <row r="599" spans="1:12" x14ac:dyDescent="0.35">
      <c r="A599">
        <v>6730</v>
      </c>
      <c r="B599" s="3">
        <f>H$6-_xlfn.MAXIFS(Table1[PurchaseDate],Table1[CustomerID],A599)</f>
        <v>38</v>
      </c>
      <c r="C599">
        <f>COUNTIF(Table1[CustomerID],A599)</f>
        <v>1</v>
      </c>
      <c r="D599" s="12">
        <f>SUMIF(Table1[CustomerID],A599,Table1[TransactionAmount])</f>
        <v>171.88</v>
      </c>
      <c r="E599" t="str">
        <f t="shared" si="48"/>
        <v>211</v>
      </c>
      <c r="F599" t="str">
        <f t="shared" si="49"/>
        <v>At Risk</v>
      </c>
      <c r="J599">
        <f t="shared" si="50"/>
        <v>2</v>
      </c>
      <c r="K599">
        <f t="shared" si="51"/>
        <v>1</v>
      </c>
      <c r="L599">
        <f t="shared" si="52"/>
        <v>1</v>
      </c>
    </row>
    <row r="600" spans="1:12" x14ac:dyDescent="0.35">
      <c r="A600">
        <v>6742</v>
      </c>
      <c r="B600" s="3">
        <f>H$6-_xlfn.MAXIFS(Table1[PurchaseDate],Table1[CustomerID],A600)</f>
        <v>44</v>
      </c>
      <c r="C600">
        <f>COUNTIF(Table1[CustomerID],A600)</f>
        <v>1</v>
      </c>
      <c r="D600" s="12">
        <f>SUMIF(Table1[CustomerID],A600,Table1[TransactionAmount])</f>
        <v>789.15</v>
      </c>
      <c r="E600" t="str">
        <f t="shared" si="48"/>
        <v>214</v>
      </c>
      <c r="F600" t="str">
        <f t="shared" si="49"/>
        <v>Needs Attention</v>
      </c>
      <c r="J600">
        <f t="shared" si="50"/>
        <v>2</v>
      </c>
      <c r="K600">
        <f t="shared" si="51"/>
        <v>1</v>
      </c>
      <c r="L600">
        <f t="shared" si="52"/>
        <v>4</v>
      </c>
    </row>
    <row r="601" spans="1:12" x14ac:dyDescent="0.35">
      <c r="A601">
        <v>6761</v>
      </c>
      <c r="B601" s="3">
        <f>H$6-_xlfn.MAXIFS(Table1[PurchaseDate],Table1[CustomerID],A601)</f>
        <v>0</v>
      </c>
      <c r="C601">
        <f>COUNTIF(Table1[CustomerID],A601)</f>
        <v>1</v>
      </c>
      <c r="D601" s="12">
        <f>SUMIF(Table1[CustomerID],A601,Table1[TransactionAmount])</f>
        <v>571.97</v>
      </c>
      <c r="E601" t="str">
        <f t="shared" si="48"/>
        <v>513</v>
      </c>
      <c r="F601" t="str">
        <f t="shared" si="49"/>
        <v>Potential Loyalists</v>
      </c>
      <c r="J601">
        <f t="shared" si="50"/>
        <v>5</v>
      </c>
      <c r="K601">
        <f t="shared" si="51"/>
        <v>1</v>
      </c>
      <c r="L601">
        <f t="shared" si="52"/>
        <v>3</v>
      </c>
    </row>
    <row r="602" spans="1:12" x14ac:dyDescent="0.35">
      <c r="A602">
        <v>6770</v>
      </c>
      <c r="B602" s="3">
        <f>H$6-_xlfn.MAXIFS(Table1[PurchaseDate],Table1[CustomerID],A602)</f>
        <v>50</v>
      </c>
      <c r="C602">
        <f>COUNTIF(Table1[CustomerID],A602)</f>
        <v>1</v>
      </c>
      <c r="D602" s="12">
        <f>SUMIF(Table1[CustomerID],A602,Table1[TransactionAmount])</f>
        <v>148.56</v>
      </c>
      <c r="E602" t="str">
        <f t="shared" si="48"/>
        <v>111</v>
      </c>
      <c r="F602" t="str">
        <f t="shared" si="49"/>
        <v>At Risk</v>
      </c>
      <c r="J602">
        <f t="shared" si="50"/>
        <v>1</v>
      </c>
      <c r="K602">
        <f t="shared" si="51"/>
        <v>1</v>
      </c>
      <c r="L602">
        <f t="shared" si="52"/>
        <v>1</v>
      </c>
    </row>
    <row r="603" spans="1:12" x14ac:dyDescent="0.35">
      <c r="A603">
        <v>6776</v>
      </c>
      <c r="B603" s="3">
        <f>H$6-_xlfn.MAXIFS(Table1[PurchaseDate],Table1[CustomerID],A603)</f>
        <v>21</v>
      </c>
      <c r="C603">
        <f>COUNTIF(Table1[CustomerID],A603)</f>
        <v>1</v>
      </c>
      <c r="D603" s="12">
        <f>SUMIF(Table1[CustomerID],A603,Table1[TransactionAmount])</f>
        <v>998.17</v>
      </c>
      <c r="E603" t="str">
        <f t="shared" si="48"/>
        <v>415</v>
      </c>
      <c r="F603" t="str">
        <f t="shared" si="49"/>
        <v>Potential Loyalists</v>
      </c>
      <c r="J603">
        <f t="shared" si="50"/>
        <v>4</v>
      </c>
      <c r="K603">
        <f t="shared" si="51"/>
        <v>1</v>
      </c>
      <c r="L603">
        <f t="shared" si="52"/>
        <v>5</v>
      </c>
    </row>
    <row r="604" spans="1:12" x14ac:dyDescent="0.35">
      <c r="A604">
        <v>6781</v>
      </c>
      <c r="B604" s="3">
        <f>H$6-_xlfn.MAXIFS(Table1[PurchaseDate],Table1[CustomerID],A604)</f>
        <v>8</v>
      </c>
      <c r="C604">
        <f>COUNTIF(Table1[CustomerID],A604)</f>
        <v>1</v>
      </c>
      <c r="D604" s="12">
        <f>SUMIF(Table1[CustomerID],A604,Table1[TransactionAmount])</f>
        <v>869.04</v>
      </c>
      <c r="E604" t="str">
        <f t="shared" si="48"/>
        <v>515</v>
      </c>
      <c r="F604" t="str">
        <f t="shared" si="49"/>
        <v>Potential Loyalists</v>
      </c>
      <c r="J604">
        <f t="shared" si="50"/>
        <v>5</v>
      </c>
      <c r="K604">
        <f t="shared" si="51"/>
        <v>1</v>
      </c>
      <c r="L604">
        <f t="shared" si="52"/>
        <v>5</v>
      </c>
    </row>
    <row r="605" spans="1:12" x14ac:dyDescent="0.35">
      <c r="A605">
        <v>6816</v>
      </c>
      <c r="B605" s="3">
        <f>H$6-_xlfn.MAXIFS(Table1[PurchaseDate],Table1[CustomerID],A605)</f>
        <v>50</v>
      </c>
      <c r="C605">
        <f>COUNTIF(Table1[CustomerID],A605)</f>
        <v>1</v>
      </c>
      <c r="D605" s="12">
        <f>SUMIF(Table1[CustomerID],A605,Table1[TransactionAmount])</f>
        <v>650.53</v>
      </c>
      <c r="E605" t="str">
        <f t="shared" si="48"/>
        <v>114</v>
      </c>
      <c r="F605" t="str">
        <f t="shared" si="49"/>
        <v>Needs Attention</v>
      </c>
      <c r="J605">
        <f t="shared" si="50"/>
        <v>1</v>
      </c>
      <c r="K605">
        <f t="shared" si="51"/>
        <v>1</v>
      </c>
      <c r="L605">
        <f t="shared" si="52"/>
        <v>4</v>
      </c>
    </row>
    <row r="606" spans="1:12" x14ac:dyDescent="0.35">
      <c r="A606">
        <v>6818</v>
      </c>
      <c r="B606" s="3">
        <f>H$6-_xlfn.MAXIFS(Table1[PurchaseDate],Table1[CustomerID],A606)</f>
        <v>7</v>
      </c>
      <c r="C606">
        <f>COUNTIF(Table1[CustomerID],A606)</f>
        <v>1</v>
      </c>
      <c r="D606" s="12">
        <f>SUMIF(Table1[CustomerID],A606,Table1[TransactionAmount])</f>
        <v>637.32000000000005</v>
      </c>
      <c r="E606" t="str">
        <f t="shared" si="48"/>
        <v>513</v>
      </c>
      <c r="F606" t="str">
        <f t="shared" si="49"/>
        <v>Potential Loyalists</v>
      </c>
      <c r="J606">
        <f t="shared" si="50"/>
        <v>5</v>
      </c>
      <c r="K606">
        <f t="shared" si="51"/>
        <v>1</v>
      </c>
      <c r="L606">
        <f t="shared" si="52"/>
        <v>3</v>
      </c>
    </row>
    <row r="607" spans="1:12" x14ac:dyDescent="0.35">
      <c r="A607">
        <v>6820</v>
      </c>
      <c r="B607" s="3">
        <f>H$6-_xlfn.MAXIFS(Table1[PurchaseDate],Table1[CustomerID],A607)</f>
        <v>47</v>
      </c>
      <c r="C607">
        <f>COUNTIF(Table1[CustomerID],A607)</f>
        <v>1</v>
      </c>
      <c r="D607" s="12">
        <f>SUMIF(Table1[CustomerID],A607,Table1[TransactionAmount])</f>
        <v>673.47</v>
      </c>
      <c r="E607" t="str">
        <f t="shared" si="48"/>
        <v>214</v>
      </c>
      <c r="F607" t="str">
        <f t="shared" si="49"/>
        <v>Needs Attention</v>
      </c>
      <c r="J607">
        <f t="shared" si="50"/>
        <v>2</v>
      </c>
      <c r="K607">
        <f t="shared" si="51"/>
        <v>1</v>
      </c>
      <c r="L607">
        <f t="shared" si="52"/>
        <v>4</v>
      </c>
    </row>
    <row r="608" spans="1:12" x14ac:dyDescent="0.35">
      <c r="A608">
        <v>6822</v>
      </c>
      <c r="B608" s="3">
        <f>H$6-_xlfn.MAXIFS(Table1[PurchaseDate],Table1[CustomerID],A608)</f>
        <v>20</v>
      </c>
      <c r="C608">
        <f>COUNTIF(Table1[CustomerID],A608)</f>
        <v>1</v>
      </c>
      <c r="D608" s="12">
        <f>SUMIF(Table1[CustomerID],A608,Table1[TransactionAmount])</f>
        <v>309.3</v>
      </c>
      <c r="E608" t="str">
        <f t="shared" si="48"/>
        <v>412</v>
      </c>
      <c r="F608" t="str">
        <f t="shared" si="49"/>
        <v>Needs Attention</v>
      </c>
      <c r="J608">
        <f t="shared" si="50"/>
        <v>4</v>
      </c>
      <c r="K608">
        <f t="shared" si="51"/>
        <v>1</v>
      </c>
      <c r="L608">
        <f t="shared" si="52"/>
        <v>2</v>
      </c>
    </row>
    <row r="609" spans="1:12" x14ac:dyDescent="0.35">
      <c r="A609">
        <v>6828</v>
      </c>
      <c r="B609" s="3">
        <f>H$6-_xlfn.MAXIFS(Table1[PurchaseDate],Table1[CustomerID],A609)</f>
        <v>35</v>
      </c>
      <c r="C609">
        <f>COUNTIF(Table1[CustomerID],A609)</f>
        <v>1</v>
      </c>
      <c r="D609" s="12">
        <f>SUMIF(Table1[CustomerID],A609,Table1[TransactionAmount])</f>
        <v>518.33000000000004</v>
      </c>
      <c r="E609" t="str">
        <f t="shared" si="48"/>
        <v>313</v>
      </c>
      <c r="F609" t="str">
        <f t="shared" si="49"/>
        <v>Potential Loyalists</v>
      </c>
      <c r="J609">
        <f t="shared" si="50"/>
        <v>3</v>
      </c>
      <c r="K609">
        <f t="shared" si="51"/>
        <v>1</v>
      </c>
      <c r="L609">
        <f t="shared" si="52"/>
        <v>3</v>
      </c>
    </row>
    <row r="610" spans="1:12" x14ac:dyDescent="0.35">
      <c r="A610">
        <v>6829</v>
      </c>
      <c r="B610" s="3">
        <f>H$6-_xlfn.MAXIFS(Table1[PurchaseDate],Table1[CustomerID],A610)</f>
        <v>25</v>
      </c>
      <c r="C610">
        <f>COUNTIF(Table1[CustomerID],A610)</f>
        <v>1</v>
      </c>
      <c r="D610" s="12">
        <f>SUMIF(Table1[CustomerID],A610,Table1[TransactionAmount])</f>
        <v>941.73</v>
      </c>
      <c r="E610" t="str">
        <f t="shared" si="48"/>
        <v>315</v>
      </c>
      <c r="F610" t="str">
        <f t="shared" si="49"/>
        <v>Potential Loyalists</v>
      </c>
      <c r="J610">
        <f t="shared" si="50"/>
        <v>3</v>
      </c>
      <c r="K610">
        <f t="shared" si="51"/>
        <v>1</v>
      </c>
      <c r="L610">
        <f t="shared" si="52"/>
        <v>5</v>
      </c>
    </row>
    <row r="611" spans="1:12" x14ac:dyDescent="0.35">
      <c r="A611">
        <v>6850</v>
      </c>
      <c r="B611" s="3">
        <f>H$6-_xlfn.MAXIFS(Table1[PurchaseDate],Table1[CustomerID],A611)</f>
        <v>10</v>
      </c>
      <c r="C611">
        <f>COUNTIF(Table1[CustomerID],A611)</f>
        <v>1</v>
      </c>
      <c r="D611" s="12">
        <f>SUMIF(Table1[CustomerID],A611,Table1[TransactionAmount])</f>
        <v>76.88</v>
      </c>
      <c r="E611" t="str">
        <f t="shared" si="48"/>
        <v>511</v>
      </c>
      <c r="F611" t="str">
        <f t="shared" si="49"/>
        <v>Needs Attention</v>
      </c>
      <c r="J611">
        <f t="shared" si="50"/>
        <v>5</v>
      </c>
      <c r="K611">
        <f t="shared" si="51"/>
        <v>1</v>
      </c>
      <c r="L611">
        <f t="shared" si="52"/>
        <v>1</v>
      </c>
    </row>
    <row r="612" spans="1:12" x14ac:dyDescent="0.35">
      <c r="A612">
        <v>6860</v>
      </c>
      <c r="B612" s="3">
        <f>H$6-_xlfn.MAXIFS(Table1[PurchaseDate],Table1[CustomerID],A612)</f>
        <v>1</v>
      </c>
      <c r="C612">
        <f>COUNTIF(Table1[CustomerID],A612)</f>
        <v>1</v>
      </c>
      <c r="D612" s="12">
        <f>SUMIF(Table1[CustomerID],A612,Table1[TransactionAmount])</f>
        <v>507.81</v>
      </c>
      <c r="E612" t="str">
        <f t="shared" si="48"/>
        <v>513</v>
      </c>
      <c r="F612" t="str">
        <f t="shared" si="49"/>
        <v>Potential Loyalists</v>
      </c>
      <c r="J612">
        <f t="shared" si="50"/>
        <v>5</v>
      </c>
      <c r="K612">
        <f t="shared" si="51"/>
        <v>1</v>
      </c>
      <c r="L612">
        <f t="shared" si="52"/>
        <v>3</v>
      </c>
    </row>
    <row r="613" spans="1:12" x14ac:dyDescent="0.35">
      <c r="A613">
        <v>6869</v>
      </c>
      <c r="B613" s="3">
        <f>H$6-_xlfn.MAXIFS(Table1[PurchaseDate],Table1[CustomerID],A613)</f>
        <v>10</v>
      </c>
      <c r="C613">
        <f>COUNTIF(Table1[CustomerID],A613)</f>
        <v>1</v>
      </c>
      <c r="D613" s="12">
        <f>SUMIF(Table1[CustomerID],A613,Table1[TransactionAmount])</f>
        <v>790.55</v>
      </c>
      <c r="E613" t="str">
        <f t="shared" si="48"/>
        <v>514</v>
      </c>
      <c r="F613" t="str">
        <f t="shared" si="49"/>
        <v>Potential Loyalists</v>
      </c>
      <c r="J613">
        <f t="shared" si="50"/>
        <v>5</v>
      </c>
      <c r="K613">
        <f t="shared" si="51"/>
        <v>1</v>
      </c>
      <c r="L613">
        <f t="shared" si="52"/>
        <v>4</v>
      </c>
    </row>
    <row r="614" spans="1:12" x14ac:dyDescent="0.35">
      <c r="A614">
        <v>6873</v>
      </c>
      <c r="B614" s="3">
        <f>H$6-_xlfn.MAXIFS(Table1[PurchaseDate],Table1[CustomerID],A614)</f>
        <v>28</v>
      </c>
      <c r="C614">
        <f>COUNTIF(Table1[CustomerID],A614)</f>
        <v>1</v>
      </c>
      <c r="D614" s="12">
        <f>SUMIF(Table1[CustomerID],A614,Table1[TransactionAmount])</f>
        <v>307.19</v>
      </c>
      <c r="E614" t="str">
        <f t="shared" si="48"/>
        <v>312</v>
      </c>
      <c r="F614" t="str">
        <f t="shared" si="49"/>
        <v>Needs Attention</v>
      </c>
      <c r="J614">
        <f t="shared" si="50"/>
        <v>3</v>
      </c>
      <c r="K614">
        <f t="shared" si="51"/>
        <v>1</v>
      </c>
      <c r="L614">
        <f t="shared" si="52"/>
        <v>2</v>
      </c>
    </row>
    <row r="615" spans="1:12" x14ac:dyDescent="0.35">
      <c r="A615">
        <v>6876</v>
      </c>
      <c r="B615" s="3">
        <f>H$6-_xlfn.MAXIFS(Table1[PurchaseDate],Table1[CustomerID],A615)</f>
        <v>8</v>
      </c>
      <c r="C615">
        <f>COUNTIF(Table1[CustomerID],A615)</f>
        <v>1</v>
      </c>
      <c r="D615" s="12">
        <f>SUMIF(Table1[CustomerID],A615,Table1[TransactionAmount])</f>
        <v>458.07</v>
      </c>
      <c r="E615" t="str">
        <f t="shared" si="48"/>
        <v>513</v>
      </c>
      <c r="F615" t="str">
        <f t="shared" si="49"/>
        <v>Potential Loyalists</v>
      </c>
      <c r="J615">
        <f t="shared" si="50"/>
        <v>5</v>
      </c>
      <c r="K615">
        <f t="shared" si="51"/>
        <v>1</v>
      </c>
      <c r="L615">
        <f t="shared" si="52"/>
        <v>3</v>
      </c>
    </row>
    <row r="616" spans="1:12" x14ac:dyDescent="0.35">
      <c r="A616">
        <v>6878</v>
      </c>
      <c r="B616" s="3">
        <f>H$6-_xlfn.MAXIFS(Table1[PurchaseDate],Table1[CustomerID],A616)</f>
        <v>58</v>
      </c>
      <c r="C616">
        <f>COUNTIF(Table1[CustomerID],A616)</f>
        <v>1</v>
      </c>
      <c r="D616" s="12">
        <f>SUMIF(Table1[CustomerID],A616,Table1[TransactionAmount])</f>
        <v>226.63</v>
      </c>
      <c r="E616" t="str">
        <f t="shared" si="48"/>
        <v>112</v>
      </c>
      <c r="F616" t="str">
        <f t="shared" si="49"/>
        <v>At Risk</v>
      </c>
      <c r="J616">
        <f t="shared" si="50"/>
        <v>1</v>
      </c>
      <c r="K616">
        <f t="shared" si="51"/>
        <v>1</v>
      </c>
      <c r="L616">
        <f t="shared" si="52"/>
        <v>2</v>
      </c>
    </row>
    <row r="617" spans="1:12" x14ac:dyDescent="0.35">
      <c r="A617">
        <v>6885</v>
      </c>
      <c r="B617" s="3">
        <f>H$6-_xlfn.MAXIFS(Table1[PurchaseDate],Table1[CustomerID],A617)</f>
        <v>12</v>
      </c>
      <c r="C617">
        <f>COUNTIF(Table1[CustomerID],A617)</f>
        <v>1</v>
      </c>
      <c r="D617" s="12">
        <f>SUMIF(Table1[CustomerID],A617,Table1[TransactionAmount])</f>
        <v>196.54</v>
      </c>
      <c r="E617" t="str">
        <f t="shared" si="48"/>
        <v>511</v>
      </c>
      <c r="F617" t="str">
        <f t="shared" si="49"/>
        <v>Needs Attention</v>
      </c>
      <c r="J617">
        <f t="shared" si="50"/>
        <v>5</v>
      </c>
      <c r="K617">
        <f t="shared" si="51"/>
        <v>1</v>
      </c>
      <c r="L617">
        <f t="shared" si="52"/>
        <v>1</v>
      </c>
    </row>
    <row r="618" spans="1:12" x14ac:dyDescent="0.35">
      <c r="A618">
        <v>6890</v>
      </c>
      <c r="B618" s="3">
        <f>H$6-_xlfn.MAXIFS(Table1[PurchaseDate],Table1[CustomerID],A618)</f>
        <v>16</v>
      </c>
      <c r="C618">
        <f>COUNTIF(Table1[CustomerID],A618)</f>
        <v>1</v>
      </c>
      <c r="D618" s="12">
        <f>SUMIF(Table1[CustomerID],A618,Table1[TransactionAmount])</f>
        <v>896.55</v>
      </c>
      <c r="E618" t="str">
        <f t="shared" si="48"/>
        <v>415</v>
      </c>
      <c r="F618" t="str">
        <f t="shared" si="49"/>
        <v>Potential Loyalists</v>
      </c>
      <c r="J618">
        <f t="shared" si="50"/>
        <v>4</v>
      </c>
      <c r="K618">
        <f t="shared" si="51"/>
        <v>1</v>
      </c>
      <c r="L618">
        <f t="shared" si="52"/>
        <v>5</v>
      </c>
    </row>
    <row r="619" spans="1:12" x14ac:dyDescent="0.35">
      <c r="A619">
        <v>6896</v>
      </c>
      <c r="B619" s="3">
        <f>H$6-_xlfn.MAXIFS(Table1[PurchaseDate],Table1[CustomerID],A619)</f>
        <v>12</v>
      </c>
      <c r="C619">
        <f>COUNTIF(Table1[CustomerID],A619)</f>
        <v>1</v>
      </c>
      <c r="D619" s="12">
        <f>SUMIF(Table1[CustomerID],A619,Table1[TransactionAmount])</f>
        <v>277.07</v>
      </c>
      <c r="E619" t="str">
        <f t="shared" si="48"/>
        <v>512</v>
      </c>
      <c r="F619" t="str">
        <f t="shared" si="49"/>
        <v>Needs Attention</v>
      </c>
      <c r="J619">
        <f t="shared" si="50"/>
        <v>5</v>
      </c>
      <c r="K619">
        <f t="shared" si="51"/>
        <v>1</v>
      </c>
      <c r="L619">
        <f t="shared" si="52"/>
        <v>2</v>
      </c>
    </row>
    <row r="620" spans="1:12" x14ac:dyDescent="0.35">
      <c r="A620">
        <v>6898</v>
      </c>
      <c r="B620" s="3">
        <f>H$6-_xlfn.MAXIFS(Table1[PurchaseDate],Table1[CustomerID],A620)</f>
        <v>32</v>
      </c>
      <c r="C620">
        <f>COUNTIF(Table1[CustomerID],A620)</f>
        <v>1</v>
      </c>
      <c r="D620" s="12">
        <f>SUMIF(Table1[CustomerID],A620,Table1[TransactionAmount])</f>
        <v>453.02</v>
      </c>
      <c r="E620" t="str">
        <f t="shared" si="48"/>
        <v>313</v>
      </c>
      <c r="F620" t="str">
        <f t="shared" si="49"/>
        <v>Potential Loyalists</v>
      </c>
      <c r="J620">
        <f t="shared" si="50"/>
        <v>3</v>
      </c>
      <c r="K620">
        <f t="shared" si="51"/>
        <v>1</v>
      </c>
      <c r="L620">
        <f t="shared" si="52"/>
        <v>3</v>
      </c>
    </row>
    <row r="621" spans="1:12" x14ac:dyDescent="0.35">
      <c r="A621">
        <v>6901</v>
      </c>
      <c r="B621" s="3">
        <f>H$6-_xlfn.MAXIFS(Table1[PurchaseDate],Table1[CustomerID],A621)</f>
        <v>9</v>
      </c>
      <c r="C621">
        <f>COUNTIF(Table1[CustomerID],A621)</f>
        <v>1</v>
      </c>
      <c r="D621" s="12">
        <f>SUMIF(Table1[CustomerID],A621,Table1[TransactionAmount])</f>
        <v>680</v>
      </c>
      <c r="E621" t="str">
        <f t="shared" si="48"/>
        <v>514</v>
      </c>
      <c r="F621" t="str">
        <f t="shared" si="49"/>
        <v>Potential Loyalists</v>
      </c>
      <c r="J621">
        <f t="shared" si="50"/>
        <v>5</v>
      </c>
      <c r="K621">
        <f t="shared" si="51"/>
        <v>1</v>
      </c>
      <c r="L621">
        <f t="shared" si="52"/>
        <v>4</v>
      </c>
    </row>
    <row r="622" spans="1:12" x14ac:dyDescent="0.35">
      <c r="A622">
        <v>6911</v>
      </c>
      <c r="B622" s="3">
        <f>H$6-_xlfn.MAXIFS(Table1[PurchaseDate],Table1[CustomerID],A622)</f>
        <v>60</v>
      </c>
      <c r="C622">
        <f>COUNTIF(Table1[CustomerID],A622)</f>
        <v>1</v>
      </c>
      <c r="D622" s="12">
        <f>SUMIF(Table1[CustomerID],A622,Table1[TransactionAmount])</f>
        <v>433.33</v>
      </c>
      <c r="E622" t="str">
        <f t="shared" si="48"/>
        <v>112</v>
      </c>
      <c r="F622" t="str">
        <f t="shared" si="49"/>
        <v>At Risk</v>
      </c>
      <c r="J622">
        <f t="shared" si="50"/>
        <v>1</v>
      </c>
      <c r="K622">
        <f t="shared" si="51"/>
        <v>1</v>
      </c>
      <c r="L622">
        <f t="shared" si="52"/>
        <v>2</v>
      </c>
    </row>
    <row r="623" spans="1:12" x14ac:dyDescent="0.35">
      <c r="A623">
        <v>6916</v>
      </c>
      <c r="B623" s="3">
        <f>H$6-_xlfn.MAXIFS(Table1[PurchaseDate],Table1[CustomerID],A623)</f>
        <v>1</v>
      </c>
      <c r="C623">
        <f>COUNTIF(Table1[CustomerID],A623)</f>
        <v>1</v>
      </c>
      <c r="D623" s="12">
        <f>SUMIF(Table1[CustomerID],A623,Table1[TransactionAmount])</f>
        <v>323.31</v>
      </c>
      <c r="E623" t="str">
        <f t="shared" si="48"/>
        <v>512</v>
      </c>
      <c r="F623" t="str">
        <f t="shared" si="49"/>
        <v>Needs Attention</v>
      </c>
      <c r="J623">
        <f t="shared" si="50"/>
        <v>5</v>
      </c>
      <c r="K623">
        <f t="shared" si="51"/>
        <v>1</v>
      </c>
      <c r="L623">
        <f t="shared" si="52"/>
        <v>2</v>
      </c>
    </row>
    <row r="624" spans="1:12" x14ac:dyDescent="0.35">
      <c r="A624">
        <v>6934</v>
      </c>
      <c r="B624" s="3">
        <f>H$6-_xlfn.MAXIFS(Table1[PurchaseDate],Table1[CustomerID],A624)</f>
        <v>20</v>
      </c>
      <c r="C624">
        <f>COUNTIF(Table1[CustomerID],A624)</f>
        <v>1</v>
      </c>
      <c r="D624" s="12">
        <f>SUMIF(Table1[CustomerID],A624,Table1[TransactionAmount])</f>
        <v>892.66</v>
      </c>
      <c r="E624" t="str">
        <f t="shared" si="48"/>
        <v>415</v>
      </c>
      <c r="F624" t="str">
        <f t="shared" si="49"/>
        <v>Potential Loyalists</v>
      </c>
      <c r="J624">
        <f t="shared" si="50"/>
        <v>4</v>
      </c>
      <c r="K624">
        <f t="shared" si="51"/>
        <v>1</v>
      </c>
      <c r="L624">
        <f t="shared" si="52"/>
        <v>5</v>
      </c>
    </row>
    <row r="625" spans="1:12" x14ac:dyDescent="0.35">
      <c r="A625">
        <v>6939</v>
      </c>
      <c r="B625" s="3">
        <f>H$6-_xlfn.MAXIFS(Table1[PurchaseDate],Table1[CustomerID],A625)</f>
        <v>25</v>
      </c>
      <c r="C625">
        <f>COUNTIF(Table1[CustomerID],A625)</f>
        <v>1</v>
      </c>
      <c r="D625" s="12">
        <f>SUMIF(Table1[CustomerID],A625,Table1[TransactionAmount])</f>
        <v>295.72000000000003</v>
      </c>
      <c r="E625" t="str">
        <f t="shared" si="48"/>
        <v>312</v>
      </c>
      <c r="F625" t="str">
        <f t="shared" si="49"/>
        <v>Needs Attention</v>
      </c>
      <c r="J625">
        <f t="shared" si="50"/>
        <v>3</v>
      </c>
      <c r="K625">
        <f t="shared" si="51"/>
        <v>1</v>
      </c>
      <c r="L625">
        <f t="shared" si="52"/>
        <v>2</v>
      </c>
    </row>
    <row r="626" spans="1:12" x14ac:dyDescent="0.35">
      <c r="A626">
        <v>6963</v>
      </c>
      <c r="B626" s="3">
        <f>H$6-_xlfn.MAXIFS(Table1[PurchaseDate],Table1[CustomerID],A626)</f>
        <v>36</v>
      </c>
      <c r="C626">
        <f>COUNTIF(Table1[CustomerID],A626)</f>
        <v>1</v>
      </c>
      <c r="D626" s="12">
        <f>SUMIF(Table1[CustomerID],A626,Table1[TransactionAmount])</f>
        <v>921.02</v>
      </c>
      <c r="E626" t="str">
        <f t="shared" si="48"/>
        <v>315</v>
      </c>
      <c r="F626" t="str">
        <f t="shared" si="49"/>
        <v>Potential Loyalists</v>
      </c>
      <c r="J626">
        <f t="shared" si="50"/>
        <v>3</v>
      </c>
      <c r="K626">
        <f t="shared" si="51"/>
        <v>1</v>
      </c>
      <c r="L626">
        <f t="shared" si="52"/>
        <v>5</v>
      </c>
    </row>
    <row r="627" spans="1:12" x14ac:dyDescent="0.35">
      <c r="A627">
        <v>6967</v>
      </c>
      <c r="B627" s="3">
        <f>H$6-_xlfn.MAXIFS(Table1[PurchaseDate],Table1[CustomerID],A627)</f>
        <v>33</v>
      </c>
      <c r="C627">
        <f>COUNTIF(Table1[CustomerID],A627)</f>
        <v>1</v>
      </c>
      <c r="D627" s="12">
        <f>SUMIF(Table1[CustomerID],A627,Table1[TransactionAmount])</f>
        <v>79.27</v>
      </c>
      <c r="E627" t="str">
        <f t="shared" si="48"/>
        <v>311</v>
      </c>
      <c r="F627" t="str">
        <f t="shared" si="49"/>
        <v>Needs Attention</v>
      </c>
      <c r="J627">
        <f t="shared" si="50"/>
        <v>3</v>
      </c>
      <c r="K627">
        <f t="shared" si="51"/>
        <v>1</v>
      </c>
      <c r="L627">
        <f t="shared" si="52"/>
        <v>1</v>
      </c>
    </row>
    <row r="628" spans="1:12" x14ac:dyDescent="0.35">
      <c r="A628">
        <v>6986</v>
      </c>
      <c r="B628" s="3">
        <f>H$6-_xlfn.MAXIFS(Table1[PurchaseDate],Table1[CustomerID],A628)</f>
        <v>26</v>
      </c>
      <c r="C628">
        <f>COUNTIF(Table1[CustomerID],A628)</f>
        <v>1</v>
      </c>
      <c r="D628" s="12">
        <f>SUMIF(Table1[CustomerID],A628,Table1[TransactionAmount])</f>
        <v>686.11</v>
      </c>
      <c r="E628" t="str">
        <f t="shared" si="48"/>
        <v>314</v>
      </c>
      <c r="F628" t="str">
        <f t="shared" si="49"/>
        <v>Potential Loyalists</v>
      </c>
      <c r="J628">
        <f t="shared" si="50"/>
        <v>3</v>
      </c>
      <c r="K628">
        <f t="shared" si="51"/>
        <v>1</v>
      </c>
      <c r="L628">
        <f t="shared" si="52"/>
        <v>4</v>
      </c>
    </row>
    <row r="629" spans="1:12" x14ac:dyDescent="0.35">
      <c r="A629">
        <v>7018</v>
      </c>
      <c r="B629" s="3">
        <f>H$6-_xlfn.MAXIFS(Table1[PurchaseDate],Table1[CustomerID],A629)</f>
        <v>1</v>
      </c>
      <c r="C629">
        <f>COUNTIF(Table1[CustomerID],A629)</f>
        <v>1</v>
      </c>
      <c r="D629" s="12">
        <f>SUMIF(Table1[CustomerID],A629,Table1[TransactionAmount])</f>
        <v>799.32</v>
      </c>
      <c r="E629" t="str">
        <f t="shared" si="48"/>
        <v>514</v>
      </c>
      <c r="F629" t="str">
        <f t="shared" si="49"/>
        <v>Potential Loyalists</v>
      </c>
      <c r="J629">
        <f t="shared" si="50"/>
        <v>5</v>
      </c>
      <c r="K629">
        <f t="shared" si="51"/>
        <v>1</v>
      </c>
      <c r="L629">
        <f t="shared" si="52"/>
        <v>4</v>
      </c>
    </row>
    <row r="630" spans="1:12" x14ac:dyDescent="0.35">
      <c r="A630">
        <v>7022</v>
      </c>
      <c r="B630" s="3">
        <f>H$6-_xlfn.MAXIFS(Table1[PurchaseDate],Table1[CustomerID],A630)</f>
        <v>4</v>
      </c>
      <c r="C630">
        <f>COUNTIF(Table1[CustomerID],A630)</f>
        <v>1</v>
      </c>
      <c r="D630" s="12">
        <f>SUMIF(Table1[CustomerID],A630,Table1[TransactionAmount])</f>
        <v>306.26</v>
      </c>
      <c r="E630" t="str">
        <f t="shared" si="48"/>
        <v>512</v>
      </c>
      <c r="F630" t="str">
        <f t="shared" si="49"/>
        <v>Needs Attention</v>
      </c>
      <c r="J630">
        <f t="shared" si="50"/>
        <v>5</v>
      </c>
      <c r="K630">
        <f t="shared" si="51"/>
        <v>1</v>
      </c>
      <c r="L630">
        <f t="shared" si="52"/>
        <v>2</v>
      </c>
    </row>
    <row r="631" spans="1:12" x14ac:dyDescent="0.35">
      <c r="A631">
        <v>7025</v>
      </c>
      <c r="B631" s="3">
        <f>H$6-_xlfn.MAXIFS(Table1[PurchaseDate],Table1[CustomerID],A631)</f>
        <v>12</v>
      </c>
      <c r="C631">
        <f>COUNTIF(Table1[CustomerID],A631)</f>
        <v>1</v>
      </c>
      <c r="D631" s="12">
        <f>SUMIF(Table1[CustomerID],A631,Table1[TransactionAmount])</f>
        <v>592.5</v>
      </c>
      <c r="E631" t="str">
        <f t="shared" si="48"/>
        <v>513</v>
      </c>
      <c r="F631" t="str">
        <f t="shared" si="49"/>
        <v>Potential Loyalists</v>
      </c>
      <c r="J631">
        <f t="shared" si="50"/>
        <v>5</v>
      </c>
      <c r="K631">
        <f t="shared" si="51"/>
        <v>1</v>
      </c>
      <c r="L631">
        <f t="shared" si="52"/>
        <v>3</v>
      </c>
    </row>
    <row r="632" spans="1:12" x14ac:dyDescent="0.35">
      <c r="A632">
        <v>7043</v>
      </c>
      <c r="B632" s="3">
        <f>H$6-_xlfn.MAXIFS(Table1[PurchaseDate],Table1[CustomerID],A632)</f>
        <v>50</v>
      </c>
      <c r="C632">
        <f>COUNTIF(Table1[CustomerID],A632)</f>
        <v>1</v>
      </c>
      <c r="D632" s="12">
        <f>SUMIF(Table1[CustomerID],A632,Table1[TransactionAmount])</f>
        <v>609.83000000000004</v>
      </c>
      <c r="E632" t="str">
        <f t="shared" si="48"/>
        <v>113</v>
      </c>
      <c r="F632" t="str">
        <f t="shared" si="49"/>
        <v>Needs Attention</v>
      </c>
      <c r="J632">
        <f t="shared" si="50"/>
        <v>1</v>
      </c>
      <c r="K632">
        <f t="shared" si="51"/>
        <v>1</v>
      </c>
      <c r="L632">
        <f t="shared" si="52"/>
        <v>3</v>
      </c>
    </row>
    <row r="633" spans="1:12" x14ac:dyDescent="0.35">
      <c r="A633">
        <v>7046</v>
      </c>
      <c r="B633" s="3">
        <f>H$6-_xlfn.MAXIFS(Table1[PurchaseDate],Table1[CustomerID],A633)</f>
        <v>10</v>
      </c>
      <c r="C633">
        <f>COUNTIF(Table1[CustomerID],A633)</f>
        <v>2</v>
      </c>
      <c r="D633" s="12">
        <f>SUMIF(Table1[CustomerID],A633,Table1[TransactionAmount])</f>
        <v>1662.1</v>
      </c>
      <c r="E633" t="str">
        <f t="shared" si="48"/>
        <v>535</v>
      </c>
      <c r="F633" t="str">
        <f t="shared" si="49"/>
        <v>Champions</v>
      </c>
      <c r="J633">
        <f t="shared" si="50"/>
        <v>5</v>
      </c>
      <c r="K633">
        <f t="shared" si="51"/>
        <v>3</v>
      </c>
      <c r="L633">
        <f t="shared" si="52"/>
        <v>5</v>
      </c>
    </row>
    <row r="634" spans="1:12" x14ac:dyDescent="0.35">
      <c r="A634">
        <v>7049</v>
      </c>
      <c r="B634" s="3">
        <f>H$6-_xlfn.MAXIFS(Table1[PurchaseDate],Table1[CustomerID],A634)</f>
        <v>23</v>
      </c>
      <c r="C634">
        <f>COUNTIF(Table1[CustomerID],A634)</f>
        <v>1</v>
      </c>
      <c r="D634" s="12">
        <f>SUMIF(Table1[CustomerID],A634,Table1[TransactionAmount])</f>
        <v>557</v>
      </c>
      <c r="E634" t="str">
        <f t="shared" si="48"/>
        <v>413</v>
      </c>
      <c r="F634" t="str">
        <f t="shared" si="49"/>
        <v>Potential Loyalists</v>
      </c>
      <c r="J634">
        <f t="shared" si="50"/>
        <v>4</v>
      </c>
      <c r="K634">
        <f t="shared" si="51"/>
        <v>1</v>
      </c>
      <c r="L634">
        <f t="shared" si="52"/>
        <v>3</v>
      </c>
    </row>
    <row r="635" spans="1:12" x14ac:dyDescent="0.35">
      <c r="A635">
        <v>7054</v>
      </c>
      <c r="B635" s="3">
        <f>H$6-_xlfn.MAXIFS(Table1[PurchaseDate],Table1[CustomerID],A635)</f>
        <v>42</v>
      </c>
      <c r="C635">
        <f>COUNTIF(Table1[CustomerID],A635)</f>
        <v>1</v>
      </c>
      <c r="D635" s="12">
        <f>SUMIF(Table1[CustomerID],A635,Table1[TransactionAmount])</f>
        <v>166.17</v>
      </c>
      <c r="E635" t="str">
        <f t="shared" si="48"/>
        <v>211</v>
      </c>
      <c r="F635" t="str">
        <f t="shared" si="49"/>
        <v>At Risk</v>
      </c>
      <c r="J635">
        <f t="shared" si="50"/>
        <v>2</v>
      </c>
      <c r="K635">
        <f t="shared" si="51"/>
        <v>1</v>
      </c>
      <c r="L635">
        <f t="shared" si="52"/>
        <v>1</v>
      </c>
    </row>
    <row r="636" spans="1:12" x14ac:dyDescent="0.35">
      <c r="A636">
        <v>7078</v>
      </c>
      <c r="B636" s="3">
        <f>H$6-_xlfn.MAXIFS(Table1[PurchaseDate],Table1[CustomerID],A636)</f>
        <v>18</v>
      </c>
      <c r="C636">
        <f>COUNTIF(Table1[CustomerID],A636)</f>
        <v>1</v>
      </c>
      <c r="D636" s="12">
        <f>SUMIF(Table1[CustomerID],A636,Table1[TransactionAmount])</f>
        <v>949.89</v>
      </c>
      <c r="E636" t="str">
        <f t="shared" si="48"/>
        <v>415</v>
      </c>
      <c r="F636" t="str">
        <f t="shared" si="49"/>
        <v>Potential Loyalists</v>
      </c>
      <c r="J636">
        <f t="shared" si="50"/>
        <v>4</v>
      </c>
      <c r="K636">
        <f t="shared" si="51"/>
        <v>1</v>
      </c>
      <c r="L636">
        <f t="shared" si="52"/>
        <v>5</v>
      </c>
    </row>
    <row r="637" spans="1:12" x14ac:dyDescent="0.35">
      <c r="A637">
        <v>7084</v>
      </c>
      <c r="B637" s="3">
        <f>H$6-_xlfn.MAXIFS(Table1[PurchaseDate],Table1[CustomerID],A637)</f>
        <v>11</v>
      </c>
      <c r="C637">
        <f>COUNTIF(Table1[CustomerID],A637)</f>
        <v>1</v>
      </c>
      <c r="D637" s="12">
        <f>SUMIF(Table1[CustomerID],A637,Table1[TransactionAmount])</f>
        <v>98.59</v>
      </c>
      <c r="E637" t="str">
        <f t="shared" si="48"/>
        <v>511</v>
      </c>
      <c r="F637" t="str">
        <f t="shared" si="49"/>
        <v>Needs Attention</v>
      </c>
      <c r="J637">
        <f t="shared" si="50"/>
        <v>5</v>
      </c>
      <c r="K637">
        <f t="shared" si="51"/>
        <v>1</v>
      </c>
      <c r="L637">
        <f t="shared" si="52"/>
        <v>1</v>
      </c>
    </row>
    <row r="638" spans="1:12" x14ac:dyDescent="0.35">
      <c r="A638">
        <v>7099</v>
      </c>
      <c r="B638" s="3">
        <f>H$6-_xlfn.MAXIFS(Table1[PurchaseDate],Table1[CustomerID],A638)</f>
        <v>37</v>
      </c>
      <c r="C638">
        <f>COUNTIF(Table1[CustomerID],A638)</f>
        <v>1</v>
      </c>
      <c r="D638" s="12">
        <f>SUMIF(Table1[CustomerID],A638,Table1[TransactionAmount])</f>
        <v>855.78</v>
      </c>
      <c r="E638" t="str">
        <f t="shared" si="48"/>
        <v>315</v>
      </c>
      <c r="F638" t="str">
        <f t="shared" si="49"/>
        <v>Potential Loyalists</v>
      </c>
      <c r="J638">
        <f t="shared" si="50"/>
        <v>3</v>
      </c>
      <c r="K638">
        <f t="shared" si="51"/>
        <v>1</v>
      </c>
      <c r="L638">
        <f t="shared" si="52"/>
        <v>5</v>
      </c>
    </row>
    <row r="639" spans="1:12" x14ac:dyDescent="0.35">
      <c r="A639">
        <v>7116</v>
      </c>
      <c r="B639" s="3">
        <f>H$6-_xlfn.MAXIFS(Table1[PurchaseDate],Table1[CustomerID],A639)</f>
        <v>16</v>
      </c>
      <c r="C639">
        <f>COUNTIF(Table1[CustomerID],A639)</f>
        <v>1</v>
      </c>
      <c r="D639" s="12">
        <f>SUMIF(Table1[CustomerID],A639,Table1[TransactionAmount])</f>
        <v>149.94</v>
      </c>
      <c r="E639" t="str">
        <f t="shared" si="48"/>
        <v>411</v>
      </c>
      <c r="F639" t="str">
        <f t="shared" si="49"/>
        <v>Needs Attention</v>
      </c>
      <c r="J639">
        <f t="shared" si="50"/>
        <v>4</v>
      </c>
      <c r="K639">
        <f t="shared" si="51"/>
        <v>1</v>
      </c>
      <c r="L639">
        <f t="shared" si="52"/>
        <v>1</v>
      </c>
    </row>
    <row r="640" spans="1:12" x14ac:dyDescent="0.35">
      <c r="A640">
        <v>7135</v>
      </c>
      <c r="B640" s="3">
        <f>H$6-_xlfn.MAXIFS(Table1[PurchaseDate],Table1[CustomerID],A640)</f>
        <v>3</v>
      </c>
      <c r="C640">
        <f>COUNTIF(Table1[CustomerID],A640)</f>
        <v>1</v>
      </c>
      <c r="D640" s="12">
        <f>SUMIF(Table1[CustomerID],A640,Table1[TransactionAmount])</f>
        <v>388.65</v>
      </c>
      <c r="E640" t="str">
        <f t="shared" si="48"/>
        <v>512</v>
      </c>
      <c r="F640" t="str">
        <f t="shared" si="49"/>
        <v>Needs Attention</v>
      </c>
      <c r="J640">
        <f t="shared" si="50"/>
        <v>5</v>
      </c>
      <c r="K640">
        <f t="shared" si="51"/>
        <v>1</v>
      </c>
      <c r="L640">
        <f t="shared" si="52"/>
        <v>2</v>
      </c>
    </row>
    <row r="641" spans="1:12" x14ac:dyDescent="0.35">
      <c r="A641">
        <v>7146</v>
      </c>
      <c r="B641" s="3">
        <f>H$6-_xlfn.MAXIFS(Table1[PurchaseDate],Table1[CustomerID],A641)</f>
        <v>32</v>
      </c>
      <c r="C641">
        <f>COUNTIF(Table1[CustomerID],A641)</f>
        <v>1</v>
      </c>
      <c r="D641" s="12">
        <f>SUMIF(Table1[CustomerID],A641,Table1[TransactionAmount])</f>
        <v>84.76</v>
      </c>
      <c r="E641" t="str">
        <f t="shared" si="48"/>
        <v>311</v>
      </c>
      <c r="F641" t="str">
        <f t="shared" si="49"/>
        <v>Needs Attention</v>
      </c>
      <c r="J641">
        <f t="shared" si="50"/>
        <v>3</v>
      </c>
      <c r="K641">
        <f t="shared" si="51"/>
        <v>1</v>
      </c>
      <c r="L641">
        <f t="shared" si="52"/>
        <v>1</v>
      </c>
    </row>
    <row r="642" spans="1:12" x14ac:dyDescent="0.35">
      <c r="A642">
        <v>7151</v>
      </c>
      <c r="B642" s="3">
        <f>H$6-_xlfn.MAXIFS(Table1[PurchaseDate],Table1[CustomerID],A642)</f>
        <v>50</v>
      </c>
      <c r="C642">
        <f>COUNTIF(Table1[CustomerID],A642)</f>
        <v>1</v>
      </c>
      <c r="D642" s="12">
        <f>SUMIF(Table1[CustomerID],A642,Table1[TransactionAmount])</f>
        <v>734.67</v>
      </c>
      <c r="E642" t="str">
        <f t="shared" si="48"/>
        <v>114</v>
      </c>
      <c r="F642" t="str">
        <f t="shared" si="49"/>
        <v>Needs Attention</v>
      </c>
      <c r="J642">
        <f t="shared" si="50"/>
        <v>1</v>
      </c>
      <c r="K642">
        <f t="shared" si="51"/>
        <v>1</v>
      </c>
      <c r="L642">
        <f t="shared" si="52"/>
        <v>4</v>
      </c>
    </row>
    <row r="643" spans="1:12" x14ac:dyDescent="0.35">
      <c r="A643">
        <v>7164</v>
      </c>
      <c r="B643" s="3">
        <f>H$6-_xlfn.MAXIFS(Table1[PurchaseDate],Table1[CustomerID],A643)</f>
        <v>6</v>
      </c>
      <c r="C643">
        <f>COUNTIF(Table1[CustomerID],A643)</f>
        <v>1</v>
      </c>
      <c r="D643" s="12">
        <f>SUMIF(Table1[CustomerID],A643,Table1[TransactionAmount])</f>
        <v>740.7</v>
      </c>
      <c r="E643" t="str">
        <f t="shared" si="48"/>
        <v>514</v>
      </c>
      <c r="F643" t="str">
        <f t="shared" si="49"/>
        <v>Potential Loyalists</v>
      </c>
      <c r="J643">
        <f t="shared" si="50"/>
        <v>5</v>
      </c>
      <c r="K643">
        <f t="shared" si="51"/>
        <v>1</v>
      </c>
      <c r="L643">
        <f t="shared" si="52"/>
        <v>4</v>
      </c>
    </row>
    <row r="644" spans="1:12" x14ac:dyDescent="0.35">
      <c r="A644">
        <v>7170</v>
      </c>
      <c r="B644" s="3">
        <f>H$6-_xlfn.MAXIFS(Table1[PurchaseDate],Table1[CustomerID],A644)</f>
        <v>23</v>
      </c>
      <c r="C644">
        <f>COUNTIF(Table1[CustomerID],A644)</f>
        <v>1</v>
      </c>
      <c r="D644" s="12">
        <f>SUMIF(Table1[CustomerID],A644,Table1[TransactionAmount])</f>
        <v>906.98</v>
      </c>
      <c r="E644" t="str">
        <f t="shared" ref="E644:E707" si="53">J644&amp;K644&amp;L644</f>
        <v>415</v>
      </c>
      <c r="F644" t="str">
        <f t="shared" ref="F644:F707" si="54">IF(AND(J644&gt;=4,K644&gt;=3,L644&gt;=4),"Champions",IF(AND(J644&gt;=3,K644&gt;=2,L644&gt;=3),"Loyal Customers",IF(AND(J644&gt;=3,L644&gt;=3),"Potential Loyalists",IF(AND(J644&lt;=2,L644&lt;=2),"At Risk","Needs Attention"))))</f>
        <v>Potential Loyalists</v>
      </c>
      <c r="J644">
        <f t="shared" ref="J644:J707" si="55">ROUNDUP((COUNT($B$3:$B$948)-_xlfn.RANK.EQ(B644,$B$3:$B$948,1)+1)/COUNT($B$3:$B$948)*5,0)</f>
        <v>4</v>
      </c>
      <c r="K644">
        <f t="shared" ref="K644:K707" si="56">IF(C644=1,1,IF(C644=2,3,IF(C644=3,4,5)))</f>
        <v>1</v>
      </c>
      <c r="L644">
        <f t="shared" ref="L644:L707" si="57">IF(D644&gt;=_xlfn.PERCENTILE.INC($D$3:$D$948,0.8),5,IF(D644&gt;=_xlfn.PERCENTILE.INC($D$3:$D$948,0.6),4,IF(D644&gt;=_xlfn.PERCENTILE.INC($D$3:$D$948,0.4),3,IF(D644&gt;=_xlfn.PERCENTILE.INC($D$3:$D$948,0.2),2,1))))</f>
        <v>5</v>
      </c>
    </row>
    <row r="645" spans="1:12" x14ac:dyDescent="0.35">
      <c r="A645">
        <v>7179</v>
      </c>
      <c r="B645" s="3">
        <f>H$6-_xlfn.MAXIFS(Table1[PurchaseDate],Table1[CustomerID],A645)</f>
        <v>17</v>
      </c>
      <c r="C645">
        <f>COUNTIF(Table1[CustomerID],A645)</f>
        <v>1</v>
      </c>
      <c r="D645" s="12">
        <f>SUMIF(Table1[CustomerID],A645,Table1[TransactionAmount])</f>
        <v>608.91999999999996</v>
      </c>
      <c r="E645" t="str">
        <f t="shared" si="53"/>
        <v>413</v>
      </c>
      <c r="F645" t="str">
        <f t="shared" si="54"/>
        <v>Potential Loyalists</v>
      </c>
      <c r="J645">
        <f t="shared" si="55"/>
        <v>4</v>
      </c>
      <c r="K645">
        <f t="shared" si="56"/>
        <v>1</v>
      </c>
      <c r="L645">
        <f t="shared" si="57"/>
        <v>3</v>
      </c>
    </row>
    <row r="646" spans="1:12" x14ac:dyDescent="0.35">
      <c r="A646">
        <v>7199</v>
      </c>
      <c r="B646" s="3">
        <f>H$6-_xlfn.MAXIFS(Table1[PurchaseDate],Table1[CustomerID],A646)</f>
        <v>41</v>
      </c>
      <c r="C646">
        <f>COUNTIF(Table1[CustomerID],A646)</f>
        <v>1</v>
      </c>
      <c r="D646" s="12">
        <f>SUMIF(Table1[CustomerID],A646,Table1[TransactionAmount])</f>
        <v>736.66</v>
      </c>
      <c r="E646" t="str">
        <f t="shared" si="53"/>
        <v>214</v>
      </c>
      <c r="F646" t="str">
        <f t="shared" si="54"/>
        <v>Needs Attention</v>
      </c>
      <c r="J646">
        <f t="shared" si="55"/>
        <v>2</v>
      </c>
      <c r="K646">
        <f t="shared" si="56"/>
        <v>1</v>
      </c>
      <c r="L646">
        <f t="shared" si="57"/>
        <v>4</v>
      </c>
    </row>
    <row r="647" spans="1:12" x14ac:dyDescent="0.35">
      <c r="A647">
        <v>7204</v>
      </c>
      <c r="B647" s="3">
        <f>H$6-_xlfn.MAXIFS(Table1[PurchaseDate],Table1[CustomerID],A647)</f>
        <v>38</v>
      </c>
      <c r="C647">
        <f>COUNTIF(Table1[CustomerID],A647)</f>
        <v>1</v>
      </c>
      <c r="D647" s="12">
        <f>SUMIF(Table1[CustomerID],A647,Table1[TransactionAmount])</f>
        <v>550.55999999999995</v>
      </c>
      <c r="E647" t="str">
        <f t="shared" si="53"/>
        <v>213</v>
      </c>
      <c r="F647" t="str">
        <f t="shared" si="54"/>
        <v>Needs Attention</v>
      </c>
      <c r="J647">
        <f t="shared" si="55"/>
        <v>2</v>
      </c>
      <c r="K647">
        <f t="shared" si="56"/>
        <v>1</v>
      </c>
      <c r="L647">
        <f t="shared" si="57"/>
        <v>3</v>
      </c>
    </row>
    <row r="648" spans="1:12" x14ac:dyDescent="0.35">
      <c r="A648">
        <v>7209</v>
      </c>
      <c r="B648" s="3">
        <f>H$6-_xlfn.MAXIFS(Table1[PurchaseDate],Table1[CustomerID],A648)</f>
        <v>39</v>
      </c>
      <c r="C648">
        <f>COUNTIF(Table1[CustomerID],A648)</f>
        <v>1</v>
      </c>
      <c r="D648" s="12">
        <f>SUMIF(Table1[CustomerID],A648,Table1[TransactionAmount])</f>
        <v>38.409999999999997</v>
      </c>
      <c r="E648" t="str">
        <f t="shared" si="53"/>
        <v>211</v>
      </c>
      <c r="F648" t="str">
        <f t="shared" si="54"/>
        <v>At Risk</v>
      </c>
      <c r="J648">
        <f t="shared" si="55"/>
        <v>2</v>
      </c>
      <c r="K648">
        <f t="shared" si="56"/>
        <v>1</v>
      </c>
      <c r="L648">
        <f t="shared" si="57"/>
        <v>1</v>
      </c>
    </row>
    <row r="649" spans="1:12" x14ac:dyDescent="0.35">
      <c r="A649">
        <v>7211</v>
      </c>
      <c r="B649" s="3">
        <f>H$6-_xlfn.MAXIFS(Table1[PurchaseDate],Table1[CustomerID],A649)</f>
        <v>17</v>
      </c>
      <c r="C649">
        <f>COUNTIF(Table1[CustomerID],A649)</f>
        <v>1</v>
      </c>
      <c r="D649" s="12">
        <f>SUMIF(Table1[CustomerID],A649,Table1[TransactionAmount])</f>
        <v>750.65</v>
      </c>
      <c r="E649" t="str">
        <f t="shared" si="53"/>
        <v>414</v>
      </c>
      <c r="F649" t="str">
        <f t="shared" si="54"/>
        <v>Potential Loyalists</v>
      </c>
      <c r="J649">
        <f t="shared" si="55"/>
        <v>4</v>
      </c>
      <c r="K649">
        <f t="shared" si="56"/>
        <v>1</v>
      </c>
      <c r="L649">
        <f t="shared" si="57"/>
        <v>4</v>
      </c>
    </row>
    <row r="650" spans="1:12" x14ac:dyDescent="0.35">
      <c r="A650">
        <v>7224</v>
      </c>
      <c r="B650" s="3">
        <f>H$6-_xlfn.MAXIFS(Table1[PurchaseDate],Table1[CustomerID],A650)</f>
        <v>54</v>
      </c>
      <c r="C650">
        <f>COUNTIF(Table1[CustomerID],A650)</f>
        <v>1</v>
      </c>
      <c r="D650" s="12">
        <f>SUMIF(Table1[CustomerID],A650,Table1[TransactionAmount])</f>
        <v>365.39</v>
      </c>
      <c r="E650" t="str">
        <f t="shared" si="53"/>
        <v>112</v>
      </c>
      <c r="F650" t="str">
        <f t="shared" si="54"/>
        <v>At Risk</v>
      </c>
      <c r="J650">
        <f t="shared" si="55"/>
        <v>1</v>
      </c>
      <c r="K650">
        <f t="shared" si="56"/>
        <v>1</v>
      </c>
      <c r="L650">
        <f t="shared" si="57"/>
        <v>2</v>
      </c>
    </row>
    <row r="651" spans="1:12" x14ac:dyDescent="0.35">
      <c r="A651">
        <v>7240</v>
      </c>
      <c r="B651" s="3">
        <f>H$6-_xlfn.MAXIFS(Table1[PurchaseDate],Table1[CustomerID],A651)</f>
        <v>22</v>
      </c>
      <c r="C651">
        <f>COUNTIF(Table1[CustomerID],A651)</f>
        <v>1</v>
      </c>
      <c r="D651" s="12">
        <f>SUMIF(Table1[CustomerID],A651,Table1[TransactionAmount])</f>
        <v>535.25</v>
      </c>
      <c r="E651" t="str">
        <f t="shared" si="53"/>
        <v>413</v>
      </c>
      <c r="F651" t="str">
        <f t="shared" si="54"/>
        <v>Potential Loyalists</v>
      </c>
      <c r="J651">
        <f t="shared" si="55"/>
        <v>4</v>
      </c>
      <c r="K651">
        <f t="shared" si="56"/>
        <v>1</v>
      </c>
      <c r="L651">
        <f t="shared" si="57"/>
        <v>3</v>
      </c>
    </row>
    <row r="652" spans="1:12" x14ac:dyDescent="0.35">
      <c r="A652">
        <v>7242</v>
      </c>
      <c r="B652" s="3">
        <f>H$6-_xlfn.MAXIFS(Table1[PurchaseDate],Table1[CustomerID],A652)</f>
        <v>8</v>
      </c>
      <c r="C652">
        <f>COUNTIF(Table1[CustomerID],A652)</f>
        <v>1</v>
      </c>
      <c r="D652" s="12">
        <f>SUMIF(Table1[CustomerID],A652,Table1[TransactionAmount])</f>
        <v>642.16</v>
      </c>
      <c r="E652" t="str">
        <f t="shared" si="53"/>
        <v>513</v>
      </c>
      <c r="F652" t="str">
        <f t="shared" si="54"/>
        <v>Potential Loyalists</v>
      </c>
      <c r="J652">
        <f t="shared" si="55"/>
        <v>5</v>
      </c>
      <c r="K652">
        <f t="shared" si="56"/>
        <v>1</v>
      </c>
      <c r="L652">
        <f t="shared" si="57"/>
        <v>3</v>
      </c>
    </row>
    <row r="653" spans="1:12" x14ac:dyDescent="0.35">
      <c r="A653">
        <v>7251</v>
      </c>
      <c r="B653" s="3">
        <f>H$6-_xlfn.MAXIFS(Table1[PurchaseDate],Table1[CustomerID],A653)</f>
        <v>7</v>
      </c>
      <c r="C653">
        <f>COUNTIF(Table1[CustomerID],A653)</f>
        <v>2</v>
      </c>
      <c r="D653" s="12">
        <f>SUMIF(Table1[CustomerID],A653,Table1[TransactionAmount])</f>
        <v>444.89</v>
      </c>
      <c r="E653" t="str">
        <f t="shared" si="53"/>
        <v>533</v>
      </c>
      <c r="F653" t="str">
        <f t="shared" si="54"/>
        <v>Loyal Customers</v>
      </c>
      <c r="J653">
        <f t="shared" si="55"/>
        <v>5</v>
      </c>
      <c r="K653">
        <f t="shared" si="56"/>
        <v>3</v>
      </c>
      <c r="L653">
        <f t="shared" si="57"/>
        <v>3</v>
      </c>
    </row>
    <row r="654" spans="1:12" x14ac:dyDescent="0.35">
      <c r="A654">
        <v>7256</v>
      </c>
      <c r="B654" s="3">
        <f>H$6-_xlfn.MAXIFS(Table1[PurchaseDate],Table1[CustomerID],A654)</f>
        <v>28</v>
      </c>
      <c r="C654">
        <f>COUNTIF(Table1[CustomerID],A654)</f>
        <v>1</v>
      </c>
      <c r="D654" s="12">
        <f>SUMIF(Table1[CustomerID],A654,Table1[TransactionAmount])</f>
        <v>532.19000000000005</v>
      </c>
      <c r="E654" t="str">
        <f t="shared" si="53"/>
        <v>313</v>
      </c>
      <c r="F654" t="str">
        <f t="shared" si="54"/>
        <v>Potential Loyalists</v>
      </c>
      <c r="J654">
        <f t="shared" si="55"/>
        <v>3</v>
      </c>
      <c r="K654">
        <f t="shared" si="56"/>
        <v>1</v>
      </c>
      <c r="L654">
        <f t="shared" si="57"/>
        <v>3</v>
      </c>
    </row>
    <row r="655" spans="1:12" x14ac:dyDescent="0.35">
      <c r="A655">
        <v>7275</v>
      </c>
      <c r="B655" s="3">
        <f>H$6-_xlfn.MAXIFS(Table1[PurchaseDate],Table1[CustomerID],A655)</f>
        <v>19</v>
      </c>
      <c r="C655">
        <f>COUNTIF(Table1[CustomerID],A655)</f>
        <v>1</v>
      </c>
      <c r="D655" s="12">
        <f>SUMIF(Table1[CustomerID],A655,Table1[TransactionAmount])</f>
        <v>490.73</v>
      </c>
      <c r="E655" t="str">
        <f t="shared" si="53"/>
        <v>413</v>
      </c>
      <c r="F655" t="str">
        <f t="shared" si="54"/>
        <v>Potential Loyalists</v>
      </c>
      <c r="J655">
        <f t="shared" si="55"/>
        <v>4</v>
      </c>
      <c r="K655">
        <f t="shared" si="56"/>
        <v>1</v>
      </c>
      <c r="L655">
        <f t="shared" si="57"/>
        <v>3</v>
      </c>
    </row>
    <row r="656" spans="1:12" x14ac:dyDescent="0.35">
      <c r="A656">
        <v>7286</v>
      </c>
      <c r="B656" s="3">
        <f>H$6-_xlfn.MAXIFS(Table1[PurchaseDate],Table1[CustomerID],A656)</f>
        <v>33</v>
      </c>
      <c r="C656">
        <f>COUNTIF(Table1[CustomerID],A656)</f>
        <v>1</v>
      </c>
      <c r="D656" s="12">
        <f>SUMIF(Table1[CustomerID],A656,Table1[TransactionAmount])</f>
        <v>193.9</v>
      </c>
      <c r="E656" t="str">
        <f t="shared" si="53"/>
        <v>311</v>
      </c>
      <c r="F656" t="str">
        <f t="shared" si="54"/>
        <v>Needs Attention</v>
      </c>
      <c r="J656">
        <f t="shared" si="55"/>
        <v>3</v>
      </c>
      <c r="K656">
        <f t="shared" si="56"/>
        <v>1</v>
      </c>
      <c r="L656">
        <f t="shared" si="57"/>
        <v>1</v>
      </c>
    </row>
    <row r="657" spans="1:12" x14ac:dyDescent="0.35">
      <c r="A657">
        <v>7288</v>
      </c>
      <c r="B657" s="3">
        <f>H$6-_xlfn.MAXIFS(Table1[PurchaseDate],Table1[CustomerID],A657)</f>
        <v>12</v>
      </c>
      <c r="C657">
        <f>COUNTIF(Table1[CustomerID],A657)</f>
        <v>1</v>
      </c>
      <c r="D657" s="12">
        <f>SUMIF(Table1[CustomerID],A657,Table1[TransactionAmount])</f>
        <v>742.35</v>
      </c>
      <c r="E657" t="str">
        <f t="shared" si="53"/>
        <v>514</v>
      </c>
      <c r="F657" t="str">
        <f t="shared" si="54"/>
        <v>Potential Loyalists</v>
      </c>
      <c r="J657">
        <f t="shared" si="55"/>
        <v>5</v>
      </c>
      <c r="K657">
        <f t="shared" si="56"/>
        <v>1</v>
      </c>
      <c r="L657">
        <f t="shared" si="57"/>
        <v>4</v>
      </c>
    </row>
    <row r="658" spans="1:12" x14ac:dyDescent="0.35">
      <c r="A658">
        <v>7291</v>
      </c>
      <c r="B658" s="3">
        <f>H$6-_xlfn.MAXIFS(Table1[PurchaseDate],Table1[CustomerID],A658)</f>
        <v>38</v>
      </c>
      <c r="C658">
        <f>COUNTIF(Table1[CustomerID],A658)</f>
        <v>1</v>
      </c>
      <c r="D658" s="12">
        <f>SUMIF(Table1[CustomerID],A658,Table1[TransactionAmount])</f>
        <v>963.62</v>
      </c>
      <c r="E658" t="str">
        <f t="shared" si="53"/>
        <v>215</v>
      </c>
      <c r="F658" t="str">
        <f t="shared" si="54"/>
        <v>Needs Attention</v>
      </c>
      <c r="J658">
        <f t="shared" si="55"/>
        <v>2</v>
      </c>
      <c r="K658">
        <f t="shared" si="56"/>
        <v>1</v>
      </c>
      <c r="L658">
        <f t="shared" si="57"/>
        <v>5</v>
      </c>
    </row>
    <row r="659" spans="1:12" x14ac:dyDescent="0.35">
      <c r="A659">
        <v>7296</v>
      </c>
      <c r="B659" s="3">
        <f>H$6-_xlfn.MAXIFS(Table1[PurchaseDate],Table1[CustomerID],A659)</f>
        <v>1</v>
      </c>
      <c r="C659">
        <f>COUNTIF(Table1[CustomerID],A659)</f>
        <v>1</v>
      </c>
      <c r="D659" s="12">
        <f>SUMIF(Table1[CustomerID],A659,Table1[TransactionAmount])</f>
        <v>984.6</v>
      </c>
      <c r="E659" t="str">
        <f t="shared" si="53"/>
        <v>515</v>
      </c>
      <c r="F659" t="str">
        <f t="shared" si="54"/>
        <v>Potential Loyalists</v>
      </c>
      <c r="J659">
        <f t="shared" si="55"/>
        <v>5</v>
      </c>
      <c r="K659">
        <f t="shared" si="56"/>
        <v>1</v>
      </c>
      <c r="L659">
        <f t="shared" si="57"/>
        <v>5</v>
      </c>
    </row>
    <row r="660" spans="1:12" x14ac:dyDescent="0.35">
      <c r="A660">
        <v>7322</v>
      </c>
      <c r="B660" s="3">
        <f>H$6-_xlfn.MAXIFS(Table1[PurchaseDate],Table1[CustomerID],A660)</f>
        <v>44</v>
      </c>
      <c r="C660">
        <f>COUNTIF(Table1[CustomerID],A660)</f>
        <v>1</v>
      </c>
      <c r="D660" s="12">
        <f>SUMIF(Table1[CustomerID],A660,Table1[TransactionAmount])</f>
        <v>544.83000000000004</v>
      </c>
      <c r="E660" t="str">
        <f t="shared" si="53"/>
        <v>213</v>
      </c>
      <c r="F660" t="str">
        <f t="shared" si="54"/>
        <v>Needs Attention</v>
      </c>
      <c r="J660">
        <f t="shared" si="55"/>
        <v>2</v>
      </c>
      <c r="K660">
        <f t="shared" si="56"/>
        <v>1</v>
      </c>
      <c r="L660">
        <f t="shared" si="57"/>
        <v>3</v>
      </c>
    </row>
    <row r="661" spans="1:12" x14ac:dyDescent="0.35">
      <c r="A661">
        <v>7334</v>
      </c>
      <c r="B661" s="3">
        <f>H$6-_xlfn.MAXIFS(Table1[PurchaseDate],Table1[CustomerID],A661)</f>
        <v>39</v>
      </c>
      <c r="C661">
        <f>COUNTIF(Table1[CustomerID],A661)</f>
        <v>1</v>
      </c>
      <c r="D661" s="12">
        <f>SUMIF(Table1[CustomerID],A661,Table1[TransactionAmount])</f>
        <v>973.99</v>
      </c>
      <c r="E661" t="str">
        <f t="shared" si="53"/>
        <v>215</v>
      </c>
      <c r="F661" t="str">
        <f t="shared" si="54"/>
        <v>Needs Attention</v>
      </c>
      <c r="J661">
        <f t="shared" si="55"/>
        <v>2</v>
      </c>
      <c r="K661">
        <f t="shared" si="56"/>
        <v>1</v>
      </c>
      <c r="L661">
        <f t="shared" si="57"/>
        <v>5</v>
      </c>
    </row>
    <row r="662" spans="1:12" x14ac:dyDescent="0.35">
      <c r="A662">
        <v>7342</v>
      </c>
      <c r="B662" s="3">
        <f>H$6-_xlfn.MAXIFS(Table1[PurchaseDate],Table1[CustomerID],A662)</f>
        <v>8</v>
      </c>
      <c r="C662">
        <f>COUNTIF(Table1[CustomerID],A662)</f>
        <v>1</v>
      </c>
      <c r="D662" s="12">
        <f>SUMIF(Table1[CustomerID],A662,Table1[TransactionAmount])</f>
        <v>527.36</v>
      </c>
      <c r="E662" t="str">
        <f t="shared" si="53"/>
        <v>513</v>
      </c>
      <c r="F662" t="str">
        <f t="shared" si="54"/>
        <v>Potential Loyalists</v>
      </c>
      <c r="J662">
        <f t="shared" si="55"/>
        <v>5</v>
      </c>
      <c r="K662">
        <f t="shared" si="56"/>
        <v>1</v>
      </c>
      <c r="L662">
        <f t="shared" si="57"/>
        <v>3</v>
      </c>
    </row>
    <row r="663" spans="1:12" x14ac:dyDescent="0.35">
      <c r="A663">
        <v>7358</v>
      </c>
      <c r="B663" s="3">
        <f>H$6-_xlfn.MAXIFS(Table1[PurchaseDate],Table1[CustomerID],A663)</f>
        <v>30</v>
      </c>
      <c r="C663">
        <f>COUNTIF(Table1[CustomerID],A663)</f>
        <v>1</v>
      </c>
      <c r="D663" s="12">
        <f>SUMIF(Table1[CustomerID],A663,Table1[TransactionAmount])</f>
        <v>918.72</v>
      </c>
      <c r="E663" t="str">
        <f t="shared" si="53"/>
        <v>315</v>
      </c>
      <c r="F663" t="str">
        <f t="shared" si="54"/>
        <v>Potential Loyalists</v>
      </c>
      <c r="J663">
        <f t="shared" si="55"/>
        <v>3</v>
      </c>
      <c r="K663">
        <f t="shared" si="56"/>
        <v>1</v>
      </c>
      <c r="L663">
        <f t="shared" si="57"/>
        <v>5</v>
      </c>
    </row>
    <row r="664" spans="1:12" x14ac:dyDescent="0.35">
      <c r="A664">
        <v>7363</v>
      </c>
      <c r="B664" s="3">
        <f>H$6-_xlfn.MAXIFS(Table1[PurchaseDate],Table1[CustomerID],A664)</f>
        <v>38</v>
      </c>
      <c r="C664">
        <f>COUNTIF(Table1[CustomerID],A664)</f>
        <v>3</v>
      </c>
      <c r="D664" s="12">
        <f>SUMIF(Table1[CustomerID],A664,Table1[TransactionAmount])</f>
        <v>1386.3200000000002</v>
      </c>
      <c r="E664" t="str">
        <f t="shared" si="53"/>
        <v>245</v>
      </c>
      <c r="F664" t="str">
        <f t="shared" si="54"/>
        <v>Needs Attention</v>
      </c>
      <c r="J664">
        <f t="shared" si="55"/>
        <v>2</v>
      </c>
      <c r="K664">
        <f t="shared" si="56"/>
        <v>4</v>
      </c>
      <c r="L664">
        <f t="shared" si="57"/>
        <v>5</v>
      </c>
    </row>
    <row r="665" spans="1:12" x14ac:dyDescent="0.35">
      <c r="A665">
        <v>7408</v>
      </c>
      <c r="B665" s="3">
        <f>H$6-_xlfn.MAXIFS(Table1[PurchaseDate],Table1[CustomerID],A665)</f>
        <v>31</v>
      </c>
      <c r="C665">
        <f>COUNTIF(Table1[CustomerID],A665)</f>
        <v>1</v>
      </c>
      <c r="D665" s="12">
        <f>SUMIF(Table1[CustomerID],A665,Table1[TransactionAmount])</f>
        <v>774.62</v>
      </c>
      <c r="E665" t="str">
        <f t="shared" si="53"/>
        <v>314</v>
      </c>
      <c r="F665" t="str">
        <f t="shared" si="54"/>
        <v>Potential Loyalists</v>
      </c>
      <c r="J665">
        <f t="shared" si="55"/>
        <v>3</v>
      </c>
      <c r="K665">
        <f t="shared" si="56"/>
        <v>1</v>
      </c>
      <c r="L665">
        <f t="shared" si="57"/>
        <v>4</v>
      </c>
    </row>
    <row r="666" spans="1:12" x14ac:dyDescent="0.35">
      <c r="A666">
        <v>7418</v>
      </c>
      <c r="B666" s="3">
        <f>H$6-_xlfn.MAXIFS(Table1[PurchaseDate],Table1[CustomerID],A666)</f>
        <v>42</v>
      </c>
      <c r="C666">
        <f>COUNTIF(Table1[CustomerID],A666)</f>
        <v>1</v>
      </c>
      <c r="D666" s="12">
        <f>SUMIF(Table1[CustomerID],A666,Table1[TransactionAmount])</f>
        <v>649.71</v>
      </c>
      <c r="E666" t="str">
        <f t="shared" si="53"/>
        <v>214</v>
      </c>
      <c r="F666" t="str">
        <f t="shared" si="54"/>
        <v>Needs Attention</v>
      </c>
      <c r="J666">
        <f t="shared" si="55"/>
        <v>2</v>
      </c>
      <c r="K666">
        <f t="shared" si="56"/>
        <v>1</v>
      </c>
      <c r="L666">
        <f t="shared" si="57"/>
        <v>4</v>
      </c>
    </row>
    <row r="667" spans="1:12" x14ac:dyDescent="0.35">
      <c r="A667">
        <v>7421</v>
      </c>
      <c r="B667" s="3">
        <f>H$6-_xlfn.MAXIFS(Table1[PurchaseDate],Table1[CustomerID],A667)</f>
        <v>52</v>
      </c>
      <c r="C667">
        <f>COUNTIF(Table1[CustomerID],A667)</f>
        <v>1</v>
      </c>
      <c r="D667" s="12">
        <f>SUMIF(Table1[CustomerID],A667,Table1[TransactionAmount])</f>
        <v>599.09</v>
      </c>
      <c r="E667" t="str">
        <f t="shared" si="53"/>
        <v>113</v>
      </c>
      <c r="F667" t="str">
        <f t="shared" si="54"/>
        <v>Needs Attention</v>
      </c>
      <c r="J667">
        <f t="shared" si="55"/>
        <v>1</v>
      </c>
      <c r="K667">
        <f t="shared" si="56"/>
        <v>1</v>
      </c>
      <c r="L667">
        <f t="shared" si="57"/>
        <v>3</v>
      </c>
    </row>
    <row r="668" spans="1:12" x14ac:dyDescent="0.35">
      <c r="A668">
        <v>7429</v>
      </c>
      <c r="B668" s="3">
        <f>H$6-_xlfn.MAXIFS(Table1[PurchaseDate],Table1[CustomerID],A668)</f>
        <v>56</v>
      </c>
      <c r="C668">
        <f>COUNTIF(Table1[CustomerID],A668)</f>
        <v>1</v>
      </c>
      <c r="D668" s="12">
        <f>SUMIF(Table1[CustomerID],A668,Table1[TransactionAmount])</f>
        <v>547.76</v>
      </c>
      <c r="E668" t="str">
        <f t="shared" si="53"/>
        <v>113</v>
      </c>
      <c r="F668" t="str">
        <f t="shared" si="54"/>
        <v>Needs Attention</v>
      </c>
      <c r="J668">
        <f t="shared" si="55"/>
        <v>1</v>
      </c>
      <c r="K668">
        <f t="shared" si="56"/>
        <v>1</v>
      </c>
      <c r="L668">
        <f t="shared" si="57"/>
        <v>3</v>
      </c>
    </row>
    <row r="669" spans="1:12" x14ac:dyDescent="0.35">
      <c r="A669">
        <v>7431</v>
      </c>
      <c r="B669" s="3">
        <f>H$6-_xlfn.MAXIFS(Table1[PurchaseDate],Table1[CustomerID],A669)</f>
        <v>23</v>
      </c>
      <c r="C669">
        <f>COUNTIF(Table1[CustomerID],A669)</f>
        <v>1</v>
      </c>
      <c r="D669" s="12">
        <f>SUMIF(Table1[CustomerID],A669,Table1[TransactionAmount])</f>
        <v>123.09</v>
      </c>
      <c r="E669" t="str">
        <f t="shared" si="53"/>
        <v>411</v>
      </c>
      <c r="F669" t="str">
        <f t="shared" si="54"/>
        <v>Needs Attention</v>
      </c>
      <c r="J669">
        <f t="shared" si="55"/>
        <v>4</v>
      </c>
      <c r="K669">
        <f t="shared" si="56"/>
        <v>1</v>
      </c>
      <c r="L669">
        <f t="shared" si="57"/>
        <v>1</v>
      </c>
    </row>
    <row r="670" spans="1:12" x14ac:dyDescent="0.35">
      <c r="A670">
        <v>7434</v>
      </c>
      <c r="B670" s="3">
        <f>H$6-_xlfn.MAXIFS(Table1[PurchaseDate],Table1[CustomerID],A670)</f>
        <v>29</v>
      </c>
      <c r="C670">
        <f>COUNTIF(Table1[CustomerID],A670)</f>
        <v>1</v>
      </c>
      <c r="D670" s="12">
        <f>SUMIF(Table1[CustomerID],A670,Table1[TransactionAmount])</f>
        <v>150.75</v>
      </c>
      <c r="E670" t="str">
        <f t="shared" si="53"/>
        <v>311</v>
      </c>
      <c r="F670" t="str">
        <f t="shared" si="54"/>
        <v>Needs Attention</v>
      </c>
      <c r="J670">
        <f t="shared" si="55"/>
        <v>3</v>
      </c>
      <c r="K670">
        <f t="shared" si="56"/>
        <v>1</v>
      </c>
      <c r="L670">
        <f t="shared" si="57"/>
        <v>1</v>
      </c>
    </row>
    <row r="671" spans="1:12" x14ac:dyDescent="0.35">
      <c r="A671">
        <v>7437</v>
      </c>
      <c r="B671" s="3">
        <f>H$6-_xlfn.MAXIFS(Table1[PurchaseDate],Table1[CustomerID],A671)</f>
        <v>37</v>
      </c>
      <c r="C671">
        <f>COUNTIF(Table1[CustomerID],A671)</f>
        <v>1</v>
      </c>
      <c r="D671" s="12">
        <f>SUMIF(Table1[CustomerID],A671,Table1[TransactionAmount])</f>
        <v>122.75</v>
      </c>
      <c r="E671" t="str">
        <f t="shared" si="53"/>
        <v>311</v>
      </c>
      <c r="F671" t="str">
        <f t="shared" si="54"/>
        <v>Needs Attention</v>
      </c>
      <c r="J671">
        <f t="shared" si="55"/>
        <v>3</v>
      </c>
      <c r="K671">
        <f t="shared" si="56"/>
        <v>1</v>
      </c>
      <c r="L671">
        <f t="shared" si="57"/>
        <v>1</v>
      </c>
    </row>
    <row r="672" spans="1:12" x14ac:dyDescent="0.35">
      <c r="A672">
        <v>7445</v>
      </c>
      <c r="B672" s="3">
        <f>H$6-_xlfn.MAXIFS(Table1[PurchaseDate],Table1[CustomerID],A672)</f>
        <v>13</v>
      </c>
      <c r="C672">
        <f>COUNTIF(Table1[CustomerID],A672)</f>
        <v>1</v>
      </c>
      <c r="D672" s="12">
        <f>SUMIF(Table1[CustomerID],A672,Table1[TransactionAmount])</f>
        <v>165.44</v>
      </c>
      <c r="E672" t="str">
        <f t="shared" si="53"/>
        <v>411</v>
      </c>
      <c r="F672" t="str">
        <f t="shared" si="54"/>
        <v>Needs Attention</v>
      </c>
      <c r="J672">
        <f t="shared" si="55"/>
        <v>4</v>
      </c>
      <c r="K672">
        <f t="shared" si="56"/>
        <v>1</v>
      </c>
      <c r="L672">
        <f t="shared" si="57"/>
        <v>1</v>
      </c>
    </row>
    <row r="673" spans="1:12" x14ac:dyDescent="0.35">
      <c r="A673">
        <v>7453</v>
      </c>
      <c r="B673" s="3">
        <f>H$6-_xlfn.MAXIFS(Table1[PurchaseDate],Table1[CustomerID],A673)</f>
        <v>37</v>
      </c>
      <c r="C673">
        <f>COUNTIF(Table1[CustomerID],A673)</f>
        <v>1</v>
      </c>
      <c r="D673" s="12">
        <f>SUMIF(Table1[CustomerID],A673,Table1[TransactionAmount])</f>
        <v>796.95</v>
      </c>
      <c r="E673" t="str">
        <f t="shared" si="53"/>
        <v>314</v>
      </c>
      <c r="F673" t="str">
        <f t="shared" si="54"/>
        <v>Potential Loyalists</v>
      </c>
      <c r="J673">
        <f t="shared" si="55"/>
        <v>3</v>
      </c>
      <c r="K673">
        <f t="shared" si="56"/>
        <v>1</v>
      </c>
      <c r="L673">
        <f t="shared" si="57"/>
        <v>4</v>
      </c>
    </row>
    <row r="674" spans="1:12" x14ac:dyDescent="0.35">
      <c r="A674">
        <v>7455</v>
      </c>
      <c r="B674" s="3">
        <f>H$6-_xlfn.MAXIFS(Table1[PurchaseDate],Table1[CustomerID],A674)</f>
        <v>23</v>
      </c>
      <c r="C674">
        <f>COUNTIF(Table1[CustomerID],A674)</f>
        <v>1</v>
      </c>
      <c r="D674" s="12">
        <f>SUMIF(Table1[CustomerID],A674,Table1[TransactionAmount])</f>
        <v>568.75</v>
      </c>
      <c r="E674" t="str">
        <f t="shared" si="53"/>
        <v>413</v>
      </c>
      <c r="F674" t="str">
        <f t="shared" si="54"/>
        <v>Potential Loyalists</v>
      </c>
      <c r="J674">
        <f t="shared" si="55"/>
        <v>4</v>
      </c>
      <c r="K674">
        <f t="shared" si="56"/>
        <v>1</v>
      </c>
      <c r="L674">
        <f t="shared" si="57"/>
        <v>3</v>
      </c>
    </row>
    <row r="675" spans="1:12" x14ac:dyDescent="0.35">
      <c r="A675">
        <v>7457</v>
      </c>
      <c r="B675" s="3">
        <f>H$6-_xlfn.MAXIFS(Table1[PurchaseDate],Table1[CustomerID],A675)</f>
        <v>21</v>
      </c>
      <c r="C675">
        <f>COUNTIF(Table1[CustomerID],A675)</f>
        <v>1</v>
      </c>
      <c r="D675" s="12">
        <f>SUMIF(Table1[CustomerID],A675,Table1[TransactionAmount])</f>
        <v>939.75</v>
      </c>
      <c r="E675" t="str">
        <f t="shared" si="53"/>
        <v>415</v>
      </c>
      <c r="F675" t="str">
        <f t="shared" si="54"/>
        <v>Potential Loyalists</v>
      </c>
      <c r="J675">
        <f t="shared" si="55"/>
        <v>4</v>
      </c>
      <c r="K675">
        <f t="shared" si="56"/>
        <v>1</v>
      </c>
      <c r="L675">
        <f t="shared" si="57"/>
        <v>5</v>
      </c>
    </row>
    <row r="676" spans="1:12" x14ac:dyDescent="0.35">
      <c r="A676">
        <v>7461</v>
      </c>
      <c r="B676" s="3">
        <f>H$6-_xlfn.MAXIFS(Table1[PurchaseDate],Table1[CustomerID],A676)</f>
        <v>56</v>
      </c>
      <c r="C676">
        <f>COUNTIF(Table1[CustomerID],A676)</f>
        <v>1</v>
      </c>
      <c r="D676" s="12">
        <f>SUMIF(Table1[CustomerID],A676,Table1[TransactionAmount])</f>
        <v>595.98</v>
      </c>
      <c r="E676" t="str">
        <f t="shared" si="53"/>
        <v>113</v>
      </c>
      <c r="F676" t="str">
        <f t="shared" si="54"/>
        <v>Needs Attention</v>
      </c>
      <c r="J676">
        <f t="shared" si="55"/>
        <v>1</v>
      </c>
      <c r="K676">
        <f t="shared" si="56"/>
        <v>1</v>
      </c>
      <c r="L676">
        <f t="shared" si="57"/>
        <v>3</v>
      </c>
    </row>
    <row r="677" spans="1:12" x14ac:dyDescent="0.35">
      <c r="A677">
        <v>7484</v>
      </c>
      <c r="B677" s="3">
        <f>H$6-_xlfn.MAXIFS(Table1[PurchaseDate],Table1[CustomerID],A677)</f>
        <v>52</v>
      </c>
      <c r="C677">
        <f>COUNTIF(Table1[CustomerID],A677)</f>
        <v>1</v>
      </c>
      <c r="D677" s="12">
        <f>SUMIF(Table1[CustomerID],A677,Table1[TransactionAmount])</f>
        <v>674.97</v>
      </c>
      <c r="E677" t="str">
        <f t="shared" si="53"/>
        <v>114</v>
      </c>
      <c r="F677" t="str">
        <f t="shared" si="54"/>
        <v>Needs Attention</v>
      </c>
      <c r="J677">
        <f t="shared" si="55"/>
        <v>1</v>
      </c>
      <c r="K677">
        <f t="shared" si="56"/>
        <v>1</v>
      </c>
      <c r="L677">
        <f t="shared" si="57"/>
        <v>4</v>
      </c>
    </row>
    <row r="678" spans="1:12" x14ac:dyDescent="0.35">
      <c r="A678">
        <v>7498</v>
      </c>
      <c r="B678" s="3">
        <f>H$6-_xlfn.MAXIFS(Table1[PurchaseDate],Table1[CustomerID],A678)</f>
        <v>0</v>
      </c>
      <c r="C678">
        <f>COUNTIF(Table1[CustomerID],A678)</f>
        <v>1</v>
      </c>
      <c r="D678" s="12">
        <f>SUMIF(Table1[CustomerID],A678,Table1[TransactionAmount])</f>
        <v>717.86</v>
      </c>
      <c r="E678" t="str">
        <f t="shared" si="53"/>
        <v>514</v>
      </c>
      <c r="F678" t="str">
        <f t="shared" si="54"/>
        <v>Potential Loyalists</v>
      </c>
      <c r="J678">
        <f t="shared" si="55"/>
        <v>5</v>
      </c>
      <c r="K678">
        <f t="shared" si="56"/>
        <v>1</v>
      </c>
      <c r="L678">
        <f t="shared" si="57"/>
        <v>4</v>
      </c>
    </row>
    <row r="679" spans="1:12" x14ac:dyDescent="0.35">
      <c r="A679">
        <v>7511</v>
      </c>
      <c r="B679" s="3">
        <f>H$6-_xlfn.MAXIFS(Table1[PurchaseDate],Table1[CustomerID],A679)</f>
        <v>6</v>
      </c>
      <c r="C679">
        <f>COUNTIF(Table1[CustomerID],A679)</f>
        <v>2</v>
      </c>
      <c r="D679" s="12">
        <f>SUMIF(Table1[CustomerID],A679,Table1[TransactionAmount])</f>
        <v>1018.1999999999999</v>
      </c>
      <c r="E679" t="str">
        <f t="shared" si="53"/>
        <v>535</v>
      </c>
      <c r="F679" t="str">
        <f t="shared" si="54"/>
        <v>Champions</v>
      </c>
      <c r="J679">
        <f t="shared" si="55"/>
        <v>5</v>
      </c>
      <c r="K679">
        <f t="shared" si="56"/>
        <v>3</v>
      </c>
      <c r="L679">
        <f t="shared" si="57"/>
        <v>5</v>
      </c>
    </row>
    <row r="680" spans="1:12" x14ac:dyDescent="0.35">
      <c r="A680">
        <v>7521</v>
      </c>
      <c r="B680" s="3">
        <f>H$6-_xlfn.MAXIFS(Table1[PurchaseDate],Table1[CustomerID],A680)</f>
        <v>40</v>
      </c>
      <c r="C680">
        <f>COUNTIF(Table1[CustomerID],A680)</f>
        <v>1</v>
      </c>
      <c r="D680" s="12">
        <f>SUMIF(Table1[CustomerID],A680,Table1[TransactionAmount])</f>
        <v>653.07000000000005</v>
      </c>
      <c r="E680" t="str">
        <f t="shared" si="53"/>
        <v>214</v>
      </c>
      <c r="F680" t="str">
        <f t="shared" si="54"/>
        <v>Needs Attention</v>
      </c>
      <c r="J680">
        <f t="shared" si="55"/>
        <v>2</v>
      </c>
      <c r="K680">
        <f t="shared" si="56"/>
        <v>1</v>
      </c>
      <c r="L680">
        <f t="shared" si="57"/>
        <v>4</v>
      </c>
    </row>
    <row r="681" spans="1:12" x14ac:dyDescent="0.35">
      <c r="A681">
        <v>7529</v>
      </c>
      <c r="B681" s="3">
        <f>H$6-_xlfn.MAXIFS(Table1[PurchaseDate],Table1[CustomerID],A681)</f>
        <v>28</v>
      </c>
      <c r="C681">
        <f>COUNTIF(Table1[CustomerID],A681)</f>
        <v>1</v>
      </c>
      <c r="D681" s="12">
        <f>SUMIF(Table1[CustomerID],A681,Table1[TransactionAmount])</f>
        <v>440.15</v>
      </c>
      <c r="E681" t="str">
        <f t="shared" si="53"/>
        <v>313</v>
      </c>
      <c r="F681" t="str">
        <f t="shared" si="54"/>
        <v>Potential Loyalists</v>
      </c>
      <c r="J681">
        <f t="shared" si="55"/>
        <v>3</v>
      </c>
      <c r="K681">
        <f t="shared" si="56"/>
        <v>1</v>
      </c>
      <c r="L681">
        <f t="shared" si="57"/>
        <v>3</v>
      </c>
    </row>
    <row r="682" spans="1:12" x14ac:dyDescent="0.35">
      <c r="A682">
        <v>7543</v>
      </c>
      <c r="B682" s="3">
        <f>H$6-_xlfn.MAXIFS(Table1[PurchaseDate],Table1[CustomerID],A682)</f>
        <v>37</v>
      </c>
      <c r="C682">
        <f>COUNTIF(Table1[CustomerID],A682)</f>
        <v>1</v>
      </c>
      <c r="D682" s="12">
        <f>SUMIF(Table1[CustomerID],A682,Table1[TransactionAmount])</f>
        <v>227.13</v>
      </c>
      <c r="E682" t="str">
        <f t="shared" si="53"/>
        <v>312</v>
      </c>
      <c r="F682" t="str">
        <f t="shared" si="54"/>
        <v>Needs Attention</v>
      </c>
      <c r="J682">
        <f t="shared" si="55"/>
        <v>3</v>
      </c>
      <c r="K682">
        <f t="shared" si="56"/>
        <v>1</v>
      </c>
      <c r="L682">
        <f t="shared" si="57"/>
        <v>2</v>
      </c>
    </row>
    <row r="683" spans="1:12" x14ac:dyDescent="0.35">
      <c r="A683">
        <v>7557</v>
      </c>
      <c r="B683" s="3">
        <f>H$6-_xlfn.MAXIFS(Table1[PurchaseDate],Table1[CustomerID],A683)</f>
        <v>31</v>
      </c>
      <c r="C683">
        <f>COUNTIF(Table1[CustomerID],A683)</f>
        <v>1</v>
      </c>
      <c r="D683" s="12">
        <f>SUMIF(Table1[CustomerID],A683,Table1[TransactionAmount])</f>
        <v>279.11</v>
      </c>
      <c r="E683" t="str">
        <f t="shared" si="53"/>
        <v>312</v>
      </c>
      <c r="F683" t="str">
        <f t="shared" si="54"/>
        <v>Needs Attention</v>
      </c>
      <c r="J683">
        <f t="shared" si="55"/>
        <v>3</v>
      </c>
      <c r="K683">
        <f t="shared" si="56"/>
        <v>1</v>
      </c>
      <c r="L683">
        <f t="shared" si="57"/>
        <v>2</v>
      </c>
    </row>
    <row r="684" spans="1:12" x14ac:dyDescent="0.35">
      <c r="A684">
        <v>7563</v>
      </c>
      <c r="B684" s="3">
        <f>H$6-_xlfn.MAXIFS(Table1[PurchaseDate],Table1[CustomerID],A684)</f>
        <v>37</v>
      </c>
      <c r="C684">
        <f>COUNTIF(Table1[CustomerID],A684)</f>
        <v>1</v>
      </c>
      <c r="D684" s="12">
        <f>SUMIF(Table1[CustomerID],A684,Table1[TransactionAmount])</f>
        <v>689.42</v>
      </c>
      <c r="E684" t="str">
        <f t="shared" si="53"/>
        <v>314</v>
      </c>
      <c r="F684" t="str">
        <f t="shared" si="54"/>
        <v>Potential Loyalists</v>
      </c>
      <c r="J684">
        <f t="shared" si="55"/>
        <v>3</v>
      </c>
      <c r="K684">
        <f t="shared" si="56"/>
        <v>1</v>
      </c>
      <c r="L684">
        <f t="shared" si="57"/>
        <v>4</v>
      </c>
    </row>
    <row r="685" spans="1:12" x14ac:dyDescent="0.35">
      <c r="A685">
        <v>7566</v>
      </c>
      <c r="B685" s="3">
        <f>H$6-_xlfn.MAXIFS(Table1[PurchaseDate],Table1[CustomerID],A685)</f>
        <v>26</v>
      </c>
      <c r="C685">
        <f>COUNTIF(Table1[CustomerID],A685)</f>
        <v>1</v>
      </c>
      <c r="D685" s="12">
        <f>SUMIF(Table1[CustomerID],A685,Table1[TransactionAmount])</f>
        <v>511.55</v>
      </c>
      <c r="E685" t="str">
        <f t="shared" si="53"/>
        <v>313</v>
      </c>
      <c r="F685" t="str">
        <f t="shared" si="54"/>
        <v>Potential Loyalists</v>
      </c>
      <c r="J685">
        <f t="shared" si="55"/>
        <v>3</v>
      </c>
      <c r="K685">
        <f t="shared" si="56"/>
        <v>1</v>
      </c>
      <c r="L685">
        <f t="shared" si="57"/>
        <v>3</v>
      </c>
    </row>
    <row r="686" spans="1:12" x14ac:dyDescent="0.35">
      <c r="A686">
        <v>7606</v>
      </c>
      <c r="B686" s="3">
        <f>H$6-_xlfn.MAXIFS(Table1[PurchaseDate],Table1[CustomerID],A686)</f>
        <v>37</v>
      </c>
      <c r="C686">
        <f>COUNTIF(Table1[CustomerID],A686)</f>
        <v>1</v>
      </c>
      <c r="D686" s="12">
        <f>SUMIF(Table1[CustomerID],A686,Table1[TransactionAmount])</f>
        <v>54.79</v>
      </c>
      <c r="E686" t="str">
        <f t="shared" si="53"/>
        <v>311</v>
      </c>
      <c r="F686" t="str">
        <f t="shared" si="54"/>
        <v>Needs Attention</v>
      </c>
      <c r="J686">
        <f t="shared" si="55"/>
        <v>3</v>
      </c>
      <c r="K686">
        <f t="shared" si="56"/>
        <v>1</v>
      </c>
      <c r="L686">
        <f t="shared" si="57"/>
        <v>1</v>
      </c>
    </row>
    <row r="687" spans="1:12" x14ac:dyDescent="0.35">
      <c r="A687">
        <v>7622</v>
      </c>
      <c r="B687" s="3">
        <f>H$6-_xlfn.MAXIFS(Table1[PurchaseDate],Table1[CustomerID],A687)</f>
        <v>5</v>
      </c>
      <c r="C687">
        <f>COUNTIF(Table1[CustomerID],A687)</f>
        <v>1</v>
      </c>
      <c r="D687" s="12">
        <f>SUMIF(Table1[CustomerID],A687,Table1[TransactionAmount])</f>
        <v>519.45000000000005</v>
      </c>
      <c r="E687" t="str">
        <f t="shared" si="53"/>
        <v>513</v>
      </c>
      <c r="F687" t="str">
        <f t="shared" si="54"/>
        <v>Potential Loyalists</v>
      </c>
      <c r="J687">
        <f t="shared" si="55"/>
        <v>5</v>
      </c>
      <c r="K687">
        <f t="shared" si="56"/>
        <v>1</v>
      </c>
      <c r="L687">
        <f t="shared" si="57"/>
        <v>3</v>
      </c>
    </row>
    <row r="688" spans="1:12" x14ac:dyDescent="0.35">
      <c r="A688">
        <v>7626</v>
      </c>
      <c r="B688" s="3">
        <f>H$6-_xlfn.MAXIFS(Table1[PurchaseDate],Table1[CustomerID],A688)</f>
        <v>15</v>
      </c>
      <c r="C688">
        <f>COUNTIF(Table1[CustomerID],A688)</f>
        <v>1</v>
      </c>
      <c r="D688" s="12">
        <f>SUMIF(Table1[CustomerID],A688,Table1[TransactionAmount])</f>
        <v>643.74</v>
      </c>
      <c r="E688" t="str">
        <f t="shared" si="53"/>
        <v>413</v>
      </c>
      <c r="F688" t="str">
        <f t="shared" si="54"/>
        <v>Potential Loyalists</v>
      </c>
      <c r="J688">
        <f t="shared" si="55"/>
        <v>4</v>
      </c>
      <c r="K688">
        <f t="shared" si="56"/>
        <v>1</v>
      </c>
      <c r="L688">
        <f t="shared" si="57"/>
        <v>3</v>
      </c>
    </row>
    <row r="689" spans="1:12" x14ac:dyDescent="0.35">
      <c r="A689">
        <v>7653</v>
      </c>
      <c r="B689" s="3">
        <f>H$6-_xlfn.MAXIFS(Table1[PurchaseDate],Table1[CustomerID],A689)</f>
        <v>25</v>
      </c>
      <c r="C689">
        <f>COUNTIF(Table1[CustomerID],A689)</f>
        <v>1</v>
      </c>
      <c r="D689" s="12">
        <f>SUMIF(Table1[CustomerID],A689,Table1[TransactionAmount])</f>
        <v>835.39</v>
      </c>
      <c r="E689" t="str">
        <f t="shared" si="53"/>
        <v>315</v>
      </c>
      <c r="F689" t="str">
        <f t="shared" si="54"/>
        <v>Potential Loyalists</v>
      </c>
      <c r="J689">
        <f t="shared" si="55"/>
        <v>3</v>
      </c>
      <c r="K689">
        <f t="shared" si="56"/>
        <v>1</v>
      </c>
      <c r="L689">
        <f t="shared" si="57"/>
        <v>5</v>
      </c>
    </row>
    <row r="690" spans="1:12" x14ac:dyDescent="0.35">
      <c r="A690">
        <v>7666</v>
      </c>
      <c r="B690" s="3">
        <f>H$6-_xlfn.MAXIFS(Table1[PurchaseDate],Table1[CustomerID],A690)</f>
        <v>19</v>
      </c>
      <c r="C690">
        <f>COUNTIF(Table1[CustomerID],A690)</f>
        <v>1</v>
      </c>
      <c r="D690" s="12">
        <f>SUMIF(Table1[CustomerID],A690,Table1[TransactionAmount])</f>
        <v>935.68</v>
      </c>
      <c r="E690" t="str">
        <f t="shared" si="53"/>
        <v>415</v>
      </c>
      <c r="F690" t="str">
        <f t="shared" si="54"/>
        <v>Potential Loyalists</v>
      </c>
      <c r="J690">
        <f t="shared" si="55"/>
        <v>4</v>
      </c>
      <c r="K690">
        <f t="shared" si="56"/>
        <v>1</v>
      </c>
      <c r="L690">
        <f t="shared" si="57"/>
        <v>5</v>
      </c>
    </row>
    <row r="691" spans="1:12" x14ac:dyDescent="0.35">
      <c r="A691">
        <v>7669</v>
      </c>
      <c r="B691" s="3">
        <f>H$6-_xlfn.MAXIFS(Table1[PurchaseDate],Table1[CustomerID],A691)</f>
        <v>48</v>
      </c>
      <c r="C691">
        <f>COUNTIF(Table1[CustomerID],A691)</f>
        <v>1</v>
      </c>
      <c r="D691" s="12">
        <f>SUMIF(Table1[CustomerID],A691,Table1[TransactionAmount])</f>
        <v>103.38</v>
      </c>
      <c r="E691" t="str">
        <f t="shared" si="53"/>
        <v>111</v>
      </c>
      <c r="F691" t="str">
        <f t="shared" si="54"/>
        <v>At Risk</v>
      </c>
      <c r="J691">
        <f t="shared" si="55"/>
        <v>1</v>
      </c>
      <c r="K691">
        <f t="shared" si="56"/>
        <v>1</v>
      </c>
      <c r="L691">
        <f t="shared" si="57"/>
        <v>1</v>
      </c>
    </row>
    <row r="692" spans="1:12" x14ac:dyDescent="0.35">
      <c r="A692">
        <v>7670</v>
      </c>
      <c r="B692" s="3">
        <f>H$6-_xlfn.MAXIFS(Table1[PurchaseDate],Table1[CustomerID],A692)</f>
        <v>28</v>
      </c>
      <c r="C692">
        <f>COUNTIF(Table1[CustomerID],A692)</f>
        <v>1</v>
      </c>
      <c r="D692" s="12">
        <f>SUMIF(Table1[CustomerID],A692,Table1[TransactionAmount])</f>
        <v>115.4</v>
      </c>
      <c r="E692" t="str">
        <f t="shared" si="53"/>
        <v>311</v>
      </c>
      <c r="F692" t="str">
        <f t="shared" si="54"/>
        <v>Needs Attention</v>
      </c>
      <c r="J692">
        <f t="shared" si="55"/>
        <v>3</v>
      </c>
      <c r="K692">
        <f t="shared" si="56"/>
        <v>1</v>
      </c>
      <c r="L692">
        <f t="shared" si="57"/>
        <v>1</v>
      </c>
    </row>
    <row r="693" spans="1:12" x14ac:dyDescent="0.35">
      <c r="A693">
        <v>7678</v>
      </c>
      <c r="B693" s="3">
        <f>H$6-_xlfn.MAXIFS(Table1[PurchaseDate],Table1[CustomerID],A693)</f>
        <v>39</v>
      </c>
      <c r="C693">
        <f>COUNTIF(Table1[CustomerID],A693)</f>
        <v>1</v>
      </c>
      <c r="D693" s="12">
        <f>SUMIF(Table1[CustomerID],A693,Table1[TransactionAmount])</f>
        <v>547.19000000000005</v>
      </c>
      <c r="E693" t="str">
        <f t="shared" si="53"/>
        <v>213</v>
      </c>
      <c r="F693" t="str">
        <f t="shared" si="54"/>
        <v>Needs Attention</v>
      </c>
      <c r="J693">
        <f t="shared" si="55"/>
        <v>2</v>
      </c>
      <c r="K693">
        <f t="shared" si="56"/>
        <v>1</v>
      </c>
      <c r="L693">
        <f t="shared" si="57"/>
        <v>3</v>
      </c>
    </row>
    <row r="694" spans="1:12" x14ac:dyDescent="0.35">
      <c r="A694">
        <v>7693</v>
      </c>
      <c r="B694" s="3">
        <f>H$6-_xlfn.MAXIFS(Table1[PurchaseDate],Table1[CustomerID],A694)</f>
        <v>32</v>
      </c>
      <c r="C694">
        <f>COUNTIF(Table1[CustomerID],A694)</f>
        <v>1</v>
      </c>
      <c r="D694" s="12">
        <f>SUMIF(Table1[CustomerID],A694,Table1[TransactionAmount])</f>
        <v>692.48</v>
      </c>
      <c r="E694" t="str">
        <f t="shared" si="53"/>
        <v>314</v>
      </c>
      <c r="F694" t="str">
        <f t="shared" si="54"/>
        <v>Potential Loyalists</v>
      </c>
      <c r="J694">
        <f t="shared" si="55"/>
        <v>3</v>
      </c>
      <c r="K694">
        <f t="shared" si="56"/>
        <v>1</v>
      </c>
      <c r="L694">
        <f t="shared" si="57"/>
        <v>4</v>
      </c>
    </row>
    <row r="695" spans="1:12" x14ac:dyDescent="0.35">
      <c r="A695">
        <v>7708</v>
      </c>
      <c r="B695" s="3">
        <f>H$6-_xlfn.MAXIFS(Table1[PurchaseDate],Table1[CustomerID],A695)</f>
        <v>8</v>
      </c>
      <c r="C695">
        <f>COUNTIF(Table1[CustomerID],A695)</f>
        <v>1</v>
      </c>
      <c r="D695" s="12">
        <f>SUMIF(Table1[CustomerID],A695,Table1[TransactionAmount])</f>
        <v>579.15</v>
      </c>
      <c r="E695" t="str">
        <f t="shared" si="53"/>
        <v>513</v>
      </c>
      <c r="F695" t="str">
        <f t="shared" si="54"/>
        <v>Potential Loyalists</v>
      </c>
      <c r="J695">
        <f t="shared" si="55"/>
        <v>5</v>
      </c>
      <c r="K695">
        <f t="shared" si="56"/>
        <v>1</v>
      </c>
      <c r="L695">
        <f t="shared" si="57"/>
        <v>3</v>
      </c>
    </row>
    <row r="696" spans="1:12" x14ac:dyDescent="0.35">
      <c r="A696">
        <v>7717</v>
      </c>
      <c r="B696" s="3">
        <f>H$6-_xlfn.MAXIFS(Table1[PurchaseDate],Table1[CustomerID],A696)</f>
        <v>5</v>
      </c>
      <c r="C696">
        <f>COUNTIF(Table1[CustomerID],A696)</f>
        <v>1</v>
      </c>
      <c r="D696" s="12">
        <f>SUMIF(Table1[CustomerID],A696,Table1[TransactionAmount])</f>
        <v>658.23</v>
      </c>
      <c r="E696" t="str">
        <f t="shared" si="53"/>
        <v>514</v>
      </c>
      <c r="F696" t="str">
        <f t="shared" si="54"/>
        <v>Potential Loyalists</v>
      </c>
      <c r="J696">
        <f t="shared" si="55"/>
        <v>5</v>
      </c>
      <c r="K696">
        <f t="shared" si="56"/>
        <v>1</v>
      </c>
      <c r="L696">
        <f t="shared" si="57"/>
        <v>4</v>
      </c>
    </row>
    <row r="697" spans="1:12" x14ac:dyDescent="0.35">
      <c r="A697">
        <v>7723</v>
      </c>
      <c r="B697" s="3">
        <f>H$6-_xlfn.MAXIFS(Table1[PurchaseDate],Table1[CustomerID],A697)</f>
        <v>28</v>
      </c>
      <c r="C697">
        <f>COUNTIF(Table1[CustomerID],A697)</f>
        <v>1</v>
      </c>
      <c r="D697" s="12">
        <f>SUMIF(Table1[CustomerID],A697,Table1[TransactionAmount])</f>
        <v>777.22</v>
      </c>
      <c r="E697" t="str">
        <f t="shared" si="53"/>
        <v>314</v>
      </c>
      <c r="F697" t="str">
        <f t="shared" si="54"/>
        <v>Potential Loyalists</v>
      </c>
      <c r="J697">
        <f t="shared" si="55"/>
        <v>3</v>
      </c>
      <c r="K697">
        <f t="shared" si="56"/>
        <v>1</v>
      </c>
      <c r="L697">
        <f t="shared" si="57"/>
        <v>4</v>
      </c>
    </row>
    <row r="698" spans="1:12" x14ac:dyDescent="0.35">
      <c r="A698">
        <v>7730</v>
      </c>
      <c r="B698" s="3">
        <f>H$6-_xlfn.MAXIFS(Table1[PurchaseDate],Table1[CustomerID],A698)</f>
        <v>22</v>
      </c>
      <c r="C698">
        <f>COUNTIF(Table1[CustomerID],A698)</f>
        <v>1</v>
      </c>
      <c r="D698" s="12">
        <f>SUMIF(Table1[CustomerID],A698,Table1[TransactionAmount])</f>
        <v>151.29</v>
      </c>
      <c r="E698" t="str">
        <f t="shared" si="53"/>
        <v>411</v>
      </c>
      <c r="F698" t="str">
        <f t="shared" si="54"/>
        <v>Needs Attention</v>
      </c>
      <c r="J698">
        <f t="shared" si="55"/>
        <v>4</v>
      </c>
      <c r="K698">
        <f t="shared" si="56"/>
        <v>1</v>
      </c>
      <c r="L698">
        <f t="shared" si="57"/>
        <v>1</v>
      </c>
    </row>
    <row r="699" spans="1:12" x14ac:dyDescent="0.35">
      <c r="A699">
        <v>7735</v>
      </c>
      <c r="B699" s="3">
        <f>H$6-_xlfn.MAXIFS(Table1[PurchaseDate],Table1[CustomerID],A699)</f>
        <v>31</v>
      </c>
      <c r="C699">
        <f>COUNTIF(Table1[CustomerID],A699)</f>
        <v>1</v>
      </c>
      <c r="D699" s="12">
        <f>SUMIF(Table1[CustomerID],A699,Table1[TransactionAmount])</f>
        <v>865.2</v>
      </c>
      <c r="E699" t="str">
        <f t="shared" si="53"/>
        <v>315</v>
      </c>
      <c r="F699" t="str">
        <f t="shared" si="54"/>
        <v>Potential Loyalists</v>
      </c>
      <c r="J699">
        <f t="shared" si="55"/>
        <v>3</v>
      </c>
      <c r="K699">
        <f t="shared" si="56"/>
        <v>1</v>
      </c>
      <c r="L699">
        <f t="shared" si="57"/>
        <v>5</v>
      </c>
    </row>
    <row r="700" spans="1:12" x14ac:dyDescent="0.35">
      <c r="A700">
        <v>7753</v>
      </c>
      <c r="B700" s="3">
        <f>H$6-_xlfn.MAXIFS(Table1[PurchaseDate],Table1[CustomerID],A700)</f>
        <v>44</v>
      </c>
      <c r="C700">
        <f>COUNTIF(Table1[CustomerID],A700)</f>
        <v>1</v>
      </c>
      <c r="D700" s="12">
        <f>SUMIF(Table1[CustomerID],A700,Table1[TransactionAmount])</f>
        <v>164.16</v>
      </c>
      <c r="E700" t="str">
        <f t="shared" si="53"/>
        <v>211</v>
      </c>
      <c r="F700" t="str">
        <f t="shared" si="54"/>
        <v>At Risk</v>
      </c>
      <c r="J700">
        <f t="shared" si="55"/>
        <v>2</v>
      </c>
      <c r="K700">
        <f t="shared" si="56"/>
        <v>1</v>
      </c>
      <c r="L700">
        <f t="shared" si="57"/>
        <v>1</v>
      </c>
    </row>
    <row r="701" spans="1:12" x14ac:dyDescent="0.35">
      <c r="A701">
        <v>7770</v>
      </c>
      <c r="B701" s="3">
        <f>H$6-_xlfn.MAXIFS(Table1[PurchaseDate],Table1[CustomerID],A701)</f>
        <v>57</v>
      </c>
      <c r="C701">
        <f>COUNTIF(Table1[CustomerID],A701)</f>
        <v>1</v>
      </c>
      <c r="D701" s="12">
        <f>SUMIF(Table1[CustomerID],A701,Table1[TransactionAmount])</f>
        <v>195.71</v>
      </c>
      <c r="E701" t="str">
        <f t="shared" si="53"/>
        <v>111</v>
      </c>
      <c r="F701" t="str">
        <f t="shared" si="54"/>
        <v>At Risk</v>
      </c>
      <c r="J701">
        <f t="shared" si="55"/>
        <v>1</v>
      </c>
      <c r="K701">
        <f t="shared" si="56"/>
        <v>1</v>
      </c>
      <c r="L701">
        <f t="shared" si="57"/>
        <v>1</v>
      </c>
    </row>
    <row r="702" spans="1:12" x14ac:dyDescent="0.35">
      <c r="A702">
        <v>7775</v>
      </c>
      <c r="B702" s="3">
        <f>H$6-_xlfn.MAXIFS(Table1[PurchaseDate],Table1[CustomerID],A702)</f>
        <v>41</v>
      </c>
      <c r="C702">
        <f>COUNTIF(Table1[CustomerID],A702)</f>
        <v>1</v>
      </c>
      <c r="D702" s="12">
        <f>SUMIF(Table1[CustomerID],A702,Table1[TransactionAmount])</f>
        <v>282.39999999999998</v>
      </c>
      <c r="E702" t="str">
        <f t="shared" si="53"/>
        <v>212</v>
      </c>
      <c r="F702" t="str">
        <f t="shared" si="54"/>
        <v>At Risk</v>
      </c>
      <c r="J702">
        <f t="shared" si="55"/>
        <v>2</v>
      </c>
      <c r="K702">
        <f t="shared" si="56"/>
        <v>1</v>
      </c>
      <c r="L702">
        <f t="shared" si="57"/>
        <v>2</v>
      </c>
    </row>
    <row r="703" spans="1:12" x14ac:dyDescent="0.35">
      <c r="A703">
        <v>7781</v>
      </c>
      <c r="B703" s="3">
        <f>H$6-_xlfn.MAXIFS(Table1[PurchaseDate],Table1[CustomerID],A703)</f>
        <v>58</v>
      </c>
      <c r="C703">
        <f>COUNTIF(Table1[CustomerID],A703)</f>
        <v>1</v>
      </c>
      <c r="D703" s="12">
        <f>SUMIF(Table1[CustomerID],A703,Table1[TransactionAmount])</f>
        <v>566.9</v>
      </c>
      <c r="E703" t="str">
        <f t="shared" si="53"/>
        <v>113</v>
      </c>
      <c r="F703" t="str">
        <f t="shared" si="54"/>
        <v>Needs Attention</v>
      </c>
      <c r="J703">
        <f t="shared" si="55"/>
        <v>1</v>
      </c>
      <c r="K703">
        <f t="shared" si="56"/>
        <v>1</v>
      </c>
      <c r="L703">
        <f t="shared" si="57"/>
        <v>3</v>
      </c>
    </row>
    <row r="704" spans="1:12" x14ac:dyDescent="0.35">
      <c r="A704">
        <v>7785</v>
      </c>
      <c r="B704" s="3">
        <f>H$6-_xlfn.MAXIFS(Table1[PurchaseDate],Table1[CustomerID],A704)</f>
        <v>43</v>
      </c>
      <c r="C704">
        <f>COUNTIF(Table1[CustomerID],A704)</f>
        <v>1</v>
      </c>
      <c r="D704" s="12">
        <f>SUMIF(Table1[CustomerID],A704,Table1[TransactionAmount])</f>
        <v>223.41</v>
      </c>
      <c r="E704" t="str">
        <f t="shared" si="53"/>
        <v>212</v>
      </c>
      <c r="F704" t="str">
        <f t="shared" si="54"/>
        <v>At Risk</v>
      </c>
      <c r="J704">
        <f t="shared" si="55"/>
        <v>2</v>
      </c>
      <c r="K704">
        <f t="shared" si="56"/>
        <v>1</v>
      </c>
      <c r="L704">
        <f t="shared" si="57"/>
        <v>2</v>
      </c>
    </row>
    <row r="705" spans="1:12" x14ac:dyDescent="0.35">
      <c r="A705">
        <v>7793</v>
      </c>
      <c r="B705" s="3">
        <f>H$6-_xlfn.MAXIFS(Table1[PurchaseDate],Table1[CustomerID],A705)</f>
        <v>9</v>
      </c>
      <c r="C705">
        <f>COUNTIF(Table1[CustomerID],A705)</f>
        <v>2</v>
      </c>
      <c r="D705" s="12">
        <f>SUMIF(Table1[CustomerID],A705,Table1[TransactionAmount])</f>
        <v>391.96000000000004</v>
      </c>
      <c r="E705" t="str">
        <f t="shared" si="53"/>
        <v>532</v>
      </c>
      <c r="F705" t="str">
        <f t="shared" si="54"/>
        <v>Needs Attention</v>
      </c>
      <c r="J705">
        <f t="shared" si="55"/>
        <v>5</v>
      </c>
      <c r="K705">
        <f t="shared" si="56"/>
        <v>3</v>
      </c>
      <c r="L705">
        <f t="shared" si="57"/>
        <v>2</v>
      </c>
    </row>
    <row r="706" spans="1:12" x14ac:dyDescent="0.35">
      <c r="A706">
        <v>7797</v>
      </c>
      <c r="B706" s="3">
        <f>H$6-_xlfn.MAXIFS(Table1[PurchaseDate],Table1[CustomerID],A706)</f>
        <v>19</v>
      </c>
      <c r="C706">
        <f>COUNTIF(Table1[CustomerID],A706)</f>
        <v>2</v>
      </c>
      <c r="D706" s="12">
        <f>SUMIF(Table1[CustomerID],A706,Table1[TransactionAmount])</f>
        <v>510.52</v>
      </c>
      <c r="E706" t="str">
        <f t="shared" si="53"/>
        <v>433</v>
      </c>
      <c r="F706" t="str">
        <f t="shared" si="54"/>
        <v>Loyal Customers</v>
      </c>
      <c r="J706">
        <f t="shared" si="55"/>
        <v>4</v>
      </c>
      <c r="K706">
        <f t="shared" si="56"/>
        <v>3</v>
      </c>
      <c r="L706">
        <f t="shared" si="57"/>
        <v>3</v>
      </c>
    </row>
    <row r="707" spans="1:12" x14ac:dyDescent="0.35">
      <c r="A707">
        <v>7798</v>
      </c>
      <c r="B707" s="3">
        <f>H$6-_xlfn.MAXIFS(Table1[PurchaseDate],Table1[CustomerID],A707)</f>
        <v>39</v>
      </c>
      <c r="C707">
        <f>COUNTIF(Table1[CustomerID],A707)</f>
        <v>1</v>
      </c>
      <c r="D707" s="12">
        <f>SUMIF(Table1[CustomerID],A707,Table1[TransactionAmount])</f>
        <v>934.91</v>
      </c>
      <c r="E707" t="str">
        <f t="shared" si="53"/>
        <v>215</v>
      </c>
      <c r="F707" t="str">
        <f t="shared" si="54"/>
        <v>Needs Attention</v>
      </c>
      <c r="J707">
        <f t="shared" si="55"/>
        <v>2</v>
      </c>
      <c r="K707">
        <f t="shared" si="56"/>
        <v>1</v>
      </c>
      <c r="L707">
        <f t="shared" si="57"/>
        <v>5</v>
      </c>
    </row>
    <row r="708" spans="1:12" x14ac:dyDescent="0.35">
      <c r="A708">
        <v>7807</v>
      </c>
      <c r="B708" s="3">
        <f>H$6-_xlfn.MAXIFS(Table1[PurchaseDate],Table1[CustomerID],A708)</f>
        <v>7</v>
      </c>
      <c r="C708">
        <f>COUNTIF(Table1[CustomerID],A708)</f>
        <v>1</v>
      </c>
      <c r="D708" s="12">
        <f>SUMIF(Table1[CustomerID],A708,Table1[TransactionAmount])</f>
        <v>487.67</v>
      </c>
      <c r="E708" t="str">
        <f t="shared" ref="E708:E771" si="58">J708&amp;K708&amp;L708</f>
        <v>513</v>
      </c>
      <c r="F708" t="str">
        <f t="shared" ref="F708:F771" si="59">IF(AND(J708&gt;=4,K708&gt;=3,L708&gt;=4),"Champions",IF(AND(J708&gt;=3,K708&gt;=2,L708&gt;=3),"Loyal Customers",IF(AND(J708&gt;=3,L708&gt;=3),"Potential Loyalists",IF(AND(J708&lt;=2,L708&lt;=2),"At Risk","Needs Attention"))))</f>
        <v>Potential Loyalists</v>
      </c>
      <c r="J708">
        <f t="shared" ref="J708:J771" si="60">ROUNDUP((COUNT($B$3:$B$948)-_xlfn.RANK.EQ(B708,$B$3:$B$948,1)+1)/COUNT($B$3:$B$948)*5,0)</f>
        <v>5</v>
      </c>
      <c r="K708">
        <f t="shared" ref="K708:K771" si="61">IF(C708=1,1,IF(C708=2,3,IF(C708=3,4,5)))</f>
        <v>1</v>
      </c>
      <c r="L708">
        <f t="shared" ref="L708:L771" si="62">IF(D708&gt;=_xlfn.PERCENTILE.INC($D$3:$D$948,0.8),5,IF(D708&gt;=_xlfn.PERCENTILE.INC($D$3:$D$948,0.6),4,IF(D708&gt;=_xlfn.PERCENTILE.INC($D$3:$D$948,0.4),3,IF(D708&gt;=_xlfn.PERCENTILE.INC($D$3:$D$948,0.2),2,1))))</f>
        <v>3</v>
      </c>
    </row>
    <row r="709" spans="1:12" x14ac:dyDescent="0.35">
      <c r="A709">
        <v>7809</v>
      </c>
      <c r="B709" s="3">
        <f>H$6-_xlfn.MAXIFS(Table1[PurchaseDate],Table1[CustomerID],A709)</f>
        <v>15</v>
      </c>
      <c r="C709">
        <f>COUNTIF(Table1[CustomerID],A709)</f>
        <v>1</v>
      </c>
      <c r="D709" s="12">
        <f>SUMIF(Table1[CustomerID],A709,Table1[TransactionAmount])</f>
        <v>841.49</v>
      </c>
      <c r="E709" t="str">
        <f t="shared" si="58"/>
        <v>415</v>
      </c>
      <c r="F709" t="str">
        <f t="shared" si="59"/>
        <v>Potential Loyalists</v>
      </c>
      <c r="J709">
        <f t="shared" si="60"/>
        <v>4</v>
      </c>
      <c r="K709">
        <f t="shared" si="61"/>
        <v>1</v>
      </c>
      <c r="L709">
        <f t="shared" si="62"/>
        <v>5</v>
      </c>
    </row>
    <row r="710" spans="1:12" x14ac:dyDescent="0.35">
      <c r="A710">
        <v>7821</v>
      </c>
      <c r="B710" s="3">
        <f>H$6-_xlfn.MAXIFS(Table1[PurchaseDate],Table1[CustomerID],A710)</f>
        <v>34</v>
      </c>
      <c r="C710">
        <f>COUNTIF(Table1[CustomerID],A710)</f>
        <v>1</v>
      </c>
      <c r="D710" s="12">
        <f>SUMIF(Table1[CustomerID],A710,Table1[TransactionAmount])</f>
        <v>157.72999999999999</v>
      </c>
      <c r="E710" t="str">
        <f t="shared" si="58"/>
        <v>311</v>
      </c>
      <c r="F710" t="str">
        <f t="shared" si="59"/>
        <v>Needs Attention</v>
      </c>
      <c r="J710">
        <f t="shared" si="60"/>
        <v>3</v>
      </c>
      <c r="K710">
        <f t="shared" si="61"/>
        <v>1</v>
      </c>
      <c r="L710">
        <f t="shared" si="62"/>
        <v>1</v>
      </c>
    </row>
    <row r="711" spans="1:12" x14ac:dyDescent="0.35">
      <c r="A711">
        <v>7824</v>
      </c>
      <c r="B711" s="3">
        <f>H$6-_xlfn.MAXIFS(Table1[PurchaseDate],Table1[CustomerID],A711)</f>
        <v>23</v>
      </c>
      <c r="C711">
        <f>COUNTIF(Table1[CustomerID],A711)</f>
        <v>1</v>
      </c>
      <c r="D711" s="12">
        <f>SUMIF(Table1[CustomerID],A711,Table1[TransactionAmount])</f>
        <v>314.60000000000002</v>
      </c>
      <c r="E711" t="str">
        <f t="shared" si="58"/>
        <v>412</v>
      </c>
      <c r="F711" t="str">
        <f t="shared" si="59"/>
        <v>Needs Attention</v>
      </c>
      <c r="J711">
        <f t="shared" si="60"/>
        <v>4</v>
      </c>
      <c r="K711">
        <f t="shared" si="61"/>
        <v>1</v>
      </c>
      <c r="L711">
        <f t="shared" si="62"/>
        <v>2</v>
      </c>
    </row>
    <row r="712" spans="1:12" x14ac:dyDescent="0.35">
      <c r="A712">
        <v>7825</v>
      </c>
      <c r="B712" s="3">
        <f>H$6-_xlfn.MAXIFS(Table1[PurchaseDate],Table1[CustomerID],A712)</f>
        <v>21</v>
      </c>
      <c r="C712">
        <f>COUNTIF(Table1[CustomerID],A712)</f>
        <v>1</v>
      </c>
      <c r="D712" s="12">
        <f>SUMIF(Table1[CustomerID],A712,Table1[TransactionAmount])</f>
        <v>642.6</v>
      </c>
      <c r="E712" t="str">
        <f t="shared" si="58"/>
        <v>413</v>
      </c>
      <c r="F712" t="str">
        <f t="shared" si="59"/>
        <v>Potential Loyalists</v>
      </c>
      <c r="J712">
        <f t="shared" si="60"/>
        <v>4</v>
      </c>
      <c r="K712">
        <f t="shared" si="61"/>
        <v>1</v>
      </c>
      <c r="L712">
        <f t="shared" si="62"/>
        <v>3</v>
      </c>
    </row>
    <row r="713" spans="1:12" x14ac:dyDescent="0.35">
      <c r="A713">
        <v>7859</v>
      </c>
      <c r="B713" s="3">
        <f>H$6-_xlfn.MAXIFS(Table1[PurchaseDate],Table1[CustomerID],A713)</f>
        <v>22</v>
      </c>
      <c r="C713">
        <f>COUNTIF(Table1[CustomerID],A713)</f>
        <v>1</v>
      </c>
      <c r="D713" s="12">
        <f>SUMIF(Table1[CustomerID],A713,Table1[TransactionAmount])</f>
        <v>916.75</v>
      </c>
      <c r="E713" t="str">
        <f t="shared" si="58"/>
        <v>415</v>
      </c>
      <c r="F713" t="str">
        <f t="shared" si="59"/>
        <v>Potential Loyalists</v>
      </c>
      <c r="J713">
        <f t="shared" si="60"/>
        <v>4</v>
      </c>
      <c r="K713">
        <f t="shared" si="61"/>
        <v>1</v>
      </c>
      <c r="L713">
        <f t="shared" si="62"/>
        <v>5</v>
      </c>
    </row>
    <row r="714" spans="1:12" x14ac:dyDescent="0.35">
      <c r="A714">
        <v>7862</v>
      </c>
      <c r="B714" s="3">
        <f>H$6-_xlfn.MAXIFS(Table1[PurchaseDate],Table1[CustomerID],A714)</f>
        <v>7</v>
      </c>
      <c r="C714">
        <f>COUNTIF(Table1[CustomerID],A714)</f>
        <v>1</v>
      </c>
      <c r="D714" s="12">
        <f>SUMIF(Table1[CustomerID],A714,Table1[TransactionAmount])</f>
        <v>899.64</v>
      </c>
      <c r="E714" t="str">
        <f t="shared" si="58"/>
        <v>515</v>
      </c>
      <c r="F714" t="str">
        <f t="shared" si="59"/>
        <v>Potential Loyalists</v>
      </c>
      <c r="J714">
        <f t="shared" si="60"/>
        <v>5</v>
      </c>
      <c r="K714">
        <f t="shared" si="61"/>
        <v>1</v>
      </c>
      <c r="L714">
        <f t="shared" si="62"/>
        <v>5</v>
      </c>
    </row>
    <row r="715" spans="1:12" x14ac:dyDescent="0.35">
      <c r="A715">
        <v>7865</v>
      </c>
      <c r="B715" s="3">
        <f>H$6-_xlfn.MAXIFS(Table1[PurchaseDate],Table1[CustomerID],A715)</f>
        <v>26</v>
      </c>
      <c r="C715">
        <f>COUNTIF(Table1[CustomerID],A715)</f>
        <v>1</v>
      </c>
      <c r="D715" s="12">
        <f>SUMIF(Table1[CustomerID],A715,Table1[TransactionAmount])</f>
        <v>750.04</v>
      </c>
      <c r="E715" t="str">
        <f t="shared" si="58"/>
        <v>314</v>
      </c>
      <c r="F715" t="str">
        <f t="shared" si="59"/>
        <v>Potential Loyalists</v>
      </c>
      <c r="J715">
        <f t="shared" si="60"/>
        <v>3</v>
      </c>
      <c r="K715">
        <f t="shared" si="61"/>
        <v>1</v>
      </c>
      <c r="L715">
        <f t="shared" si="62"/>
        <v>4</v>
      </c>
    </row>
    <row r="716" spans="1:12" x14ac:dyDescent="0.35">
      <c r="A716">
        <v>7870</v>
      </c>
      <c r="B716" s="3">
        <f>H$6-_xlfn.MAXIFS(Table1[PurchaseDate],Table1[CustomerID],A716)</f>
        <v>46</v>
      </c>
      <c r="C716">
        <f>COUNTIF(Table1[CustomerID],A716)</f>
        <v>1</v>
      </c>
      <c r="D716" s="12">
        <f>SUMIF(Table1[CustomerID],A716,Table1[TransactionAmount])</f>
        <v>328.58</v>
      </c>
      <c r="E716" t="str">
        <f t="shared" si="58"/>
        <v>212</v>
      </c>
      <c r="F716" t="str">
        <f t="shared" si="59"/>
        <v>At Risk</v>
      </c>
      <c r="J716">
        <f t="shared" si="60"/>
        <v>2</v>
      </c>
      <c r="K716">
        <f t="shared" si="61"/>
        <v>1</v>
      </c>
      <c r="L716">
        <f t="shared" si="62"/>
        <v>2</v>
      </c>
    </row>
    <row r="717" spans="1:12" x14ac:dyDescent="0.35">
      <c r="A717">
        <v>7883</v>
      </c>
      <c r="B717" s="3">
        <f>H$6-_xlfn.MAXIFS(Table1[PurchaseDate],Table1[CustomerID],A717)</f>
        <v>36</v>
      </c>
      <c r="C717">
        <f>COUNTIF(Table1[CustomerID],A717)</f>
        <v>1</v>
      </c>
      <c r="D717" s="12">
        <f>SUMIF(Table1[CustomerID],A717,Table1[TransactionAmount])</f>
        <v>905.79</v>
      </c>
      <c r="E717" t="str">
        <f t="shared" si="58"/>
        <v>315</v>
      </c>
      <c r="F717" t="str">
        <f t="shared" si="59"/>
        <v>Potential Loyalists</v>
      </c>
      <c r="J717">
        <f t="shared" si="60"/>
        <v>3</v>
      </c>
      <c r="K717">
        <f t="shared" si="61"/>
        <v>1</v>
      </c>
      <c r="L717">
        <f t="shared" si="62"/>
        <v>5</v>
      </c>
    </row>
    <row r="718" spans="1:12" x14ac:dyDescent="0.35">
      <c r="A718">
        <v>7885</v>
      </c>
      <c r="B718" s="3">
        <f>H$6-_xlfn.MAXIFS(Table1[PurchaseDate],Table1[CustomerID],A718)</f>
        <v>41</v>
      </c>
      <c r="C718">
        <f>COUNTIF(Table1[CustomerID],A718)</f>
        <v>1</v>
      </c>
      <c r="D718" s="12">
        <f>SUMIF(Table1[CustomerID],A718,Table1[TransactionAmount])</f>
        <v>787.87</v>
      </c>
      <c r="E718" t="str">
        <f t="shared" si="58"/>
        <v>214</v>
      </c>
      <c r="F718" t="str">
        <f t="shared" si="59"/>
        <v>Needs Attention</v>
      </c>
      <c r="J718">
        <f t="shared" si="60"/>
        <v>2</v>
      </c>
      <c r="K718">
        <f t="shared" si="61"/>
        <v>1</v>
      </c>
      <c r="L718">
        <f t="shared" si="62"/>
        <v>4</v>
      </c>
    </row>
    <row r="719" spans="1:12" x14ac:dyDescent="0.35">
      <c r="A719">
        <v>7889</v>
      </c>
      <c r="B719" s="3">
        <f>H$6-_xlfn.MAXIFS(Table1[PurchaseDate],Table1[CustomerID],A719)</f>
        <v>10</v>
      </c>
      <c r="C719">
        <f>COUNTIF(Table1[CustomerID],A719)</f>
        <v>1</v>
      </c>
      <c r="D719" s="12">
        <f>SUMIF(Table1[CustomerID],A719,Table1[TransactionAmount])</f>
        <v>887.98</v>
      </c>
      <c r="E719" t="str">
        <f t="shared" si="58"/>
        <v>515</v>
      </c>
      <c r="F719" t="str">
        <f t="shared" si="59"/>
        <v>Potential Loyalists</v>
      </c>
      <c r="J719">
        <f t="shared" si="60"/>
        <v>5</v>
      </c>
      <c r="K719">
        <f t="shared" si="61"/>
        <v>1</v>
      </c>
      <c r="L719">
        <f t="shared" si="62"/>
        <v>5</v>
      </c>
    </row>
    <row r="720" spans="1:12" x14ac:dyDescent="0.35">
      <c r="A720">
        <v>7909</v>
      </c>
      <c r="B720" s="3">
        <f>H$6-_xlfn.MAXIFS(Table1[PurchaseDate],Table1[CustomerID],A720)</f>
        <v>19</v>
      </c>
      <c r="C720">
        <f>COUNTIF(Table1[CustomerID],A720)</f>
        <v>1</v>
      </c>
      <c r="D720" s="12">
        <f>SUMIF(Table1[CustomerID],A720,Table1[TransactionAmount])</f>
        <v>887.26</v>
      </c>
      <c r="E720" t="str">
        <f t="shared" si="58"/>
        <v>415</v>
      </c>
      <c r="F720" t="str">
        <f t="shared" si="59"/>
        <v>Potential Loyalists</v>
      </c>
      <c r="J720">
        <f t="shared" si="60"/>
        <v>4</v>
      </c>
      <c r="K720">
        <f t="shared" si="61"/>
        <v>1</v>
      </c>
      <c r="L720">
        <f t="shared" si="62"/>
        <v>5</v>
      </c>
    </row>
    <row r="721" spans="1:12" x14ac:dyDescent="0.35">
      <c r="A721">
        <v>7911</v>
      </c>
      <c r="B721" s="3">
        <f>H$6-_xlfn.MAXIFS(Table1[PurchaseDate],Table1[CustomerID],A721)</f>
        <v>20</v>
      </c>
      <c r="C721">
        <f>COUNTIF(Table1[CustomerID],A721)</f>
        <v>1</v>
      </c>
      <c r="D721" s="12">
        <f>SUMIF(Table1[CustomerID],A721,Table1[TransactionAmount])</f>
        <v>616.19000000000005</v>
      </c>
      <c r="E721" t="str">
        <f t="shared" si="58"/>
        <v>413</v>
      </c>
      <c r="F721" t="str">
        <f t="shared" si="59"/>
        <v>Potential Loyalists</v>
      </c>
      <c r="J721">
        <f t="shared" si="60"/>
        <v>4</v>
      </c>
      <c r="K721">
        <f t="shared" si="61"/>
        <v>1</v>
      </c>
      <c r="L721">
        <f t="shared" si="62"/>
        <v>3</v>
      </c>
    </row>
    <row r="722" spans="1:12" x14ac:dyDescent="0.35">
      <c r="A722">
        <v>7916</v>
      </c>
      <c r="B722" s="3">
        <f>H$6-_xlfn.MAXIFS(Table1[PurchaseDate],Table1[CustomerID],A722)</f>
        <v>22</v>
      </c>
      <c r="C722">
        <f>COUNTIF(Table1[CustomerID],A722)</f>
        <v>1</v>
      </c>
      <c r="D722" s="12">
        <f>SUMIF(Table1[CustomerID],A722,Table1[TransactionAmount])</f>
        <v>72.89</v>
      </c>
      <c r="E722" t="str">
        <f t="shared" si="58"/>
        <v>411</v>
      </c>
      <c r="F722" t="str">
        <f t="shared" si="59"/>
        <v>Needs Attention</v>
      </c>
      <c r="J722">
        <f t="shared" si="60"/>
        <v>4</v>
      </c>
      <c r="K722">
        <f t="shared" si="61"/>
        <v>1</v>
      </c>
      <c r="L722">
        <f t="shared" si="62"/>
        <v>1</v>
      </c>
    </row>
    <row r="723" spans="1:12" x14ac:dyDescent="0.35">
      <c r="A723">
        <v>7921</v>
      </c>
      <c r="B723" s="3">
        <f>H$6-_xlfn.MAXIFS(Table1[PurchaseDate],Table1[CustomerID],A723)</f>
        <v>42</v>
      </c>
      <c r="C723">
        <f>COUNTIF(Table1[CustomerID],A723)</f>
        <v>1</v>
      </c>
      <c r="D723" s="12">
        <f>SUMIF(Table1[CustomerID],A723,Table1[TransactionAmount])</f>
        <v>617</v>
      </c>
      <c r="E723" t="str">
        <f t="shared" si="58"/>
        <v>213</v>
      </c>
      <c r="F723" t="str">
        <f t="shared" si="59"/>
        <v>Needs Attention</v>
      </c>
      <c r="J723">
        <f t="shared" si="60"/>
        <v>2</v>
      </c>
      <c r="K723">
        <f t="shared" si="61"/>
        <v>1</v>
      </c>
      <c r="L723">
        <f t="shared" si="62"/>
        <v>3</v>
      </c>
    </row>
    <row r="724" spans="1:12" x14ac:dyDescent="0.35">
      <c r="A724">
        <v>7932</v>
      </c>
      <c r="B724" s="3">
        <f>H$6-_xlfn.MAXIFS(Table1[PurchaseDate],Table1[CustomerID],A724)</f>
        <v>10</v>
      </c>
      <c r="C724">
        <f>COUNTIF(Table1[CustomerID],A724)</f>
        <v>1</v>
      </c>
      <c r="D724" s="12">
        <f>SUMIF(Table1[CustomerID],A724,Table1[TransactionAmount])</f>
        <v>383.22</v>
      </c>
      <c r="E724" t="str">
        <f t="shared" si="58"/>
        <v>512</v>
      </c>
      <c r="F724" t="str">
        <f t="shared" si="59"/>
        <v>Needs Attention</v>
      </c>
      <c r="J724">
        <f t="shared" si="60"/>
        <v>5</v>
      </c>
      <c r="K724">
        <f t="shared" si="61"/>
        <v>1</v>
      </c>
      <c r="L724">
        <f t="shared" si="62"/>
        <v>2</v>
      </c>
    </row>
    <row r="725" spans="1:12" x14ac:dyDescent="0.35">
      <c r="A725">
        <v>7939</v>
      </c>
      <c r="B725" s="3">
        <f>H$6-_xlfn.MAXIFS(Table1[PurchaseDate],Table1[CustomerID],A725)</f>
        <v>16</v>
      </c>
      <c r="C725">
        <f>COUNTIF(Table1[CustomerID],A725)</f>
        <v>2</v>
      </c>
      <c r="D725" s="12">
        <f>SUMIF(Table1[CustomerID],A725,Table1[TransactionAmount])</f>
        <v>763.06999999999994</v>
      </c>
      <c r="E725" t="str">
        <f t="shared" si="58"/>
        <v>434</v>
      </c>
      <c r="F725" t="str">
        <f t="shared" si="59"/>
        <v>Champions</v>
      </c>
      <c r="J725">
        <f t="shared" si="60"/>
        <v>4</v>
      </c>
      <c r="K725">
        <f t="shared" si="61"/>
        <v>3</v>
      </c>
      <c r="L725">
        <f t="shared" si="62"/>
        <v>4</v>
      </c>
    </row>
    <row r="726" spans="1:12" x14ac:dyDescent="0.35">
      <c r="A726">
        <v>7955</v>
      </c>
      <c r="B726" s="3">
        <f>H$6-_xlfn.MAXIFS(Table1[PurchaseDate],Table1[CustomerID],A726)</f>
        <v>55</v>
      </c>
      <c r="C726">
        <f>COUNTIF(Table1[CustomerID],A726)</f>
        <v>1</v>
      </c>
      <c r="D726" s="12">
        <f>SUMIF(Table1[CustomerID],A726,Table1[TransactionAmount])</f>
        <v>436.3</v>
      </c>
      <c r="E726" t="str">
        <f t="shared" si="58"/>
        <v>112</v>
      </c>
      <c r="F726" t="str">
        <f t="shared" si="59"/>
        <v>At Risk</v>
      </c>
      <c r="J726">
        <f t="shared" si="60"/>
        <v>1</v>
      </c>
      <c r="K726">
        <f t="shared" si="61"/>
        <v>1</v>
      </c>
      <c r="L726">
        <f t="shared" si="62"/>
        <v>2</v>
      </c>
    </row>
    <row r="727" spans="1:12" x14ac:dyDescent="0.35">
      <c r="A727">
        <v>7965</v>
      </c>
      <c r="B727" s="3">
        <f>H$6-_xlfn.MAXIFS(Table1[PurchaseDate],Table1[CustomerID],A727)</f>
        <v>54</v>
      </c>
      <c r="C727">
        <f>COUNTIF(Table1[CustomerID],A727)</f>
        <v>1</v>
      </c>
      <c r="D727" s="12">
        <f>SUMIF(Table1[CustomerID],A727,Table1[TransactionAmount])</f>
        <v>738.63</v>
      </c>
      <c r="E727" t="str">
        <f t="shared" si="58"/>
        <v>114</v>
      </c>
      <c r="F727" t="str">
        <f t="shared" si="59"/>
        <v>Needs Attention</v>
      </c>
      <c r="J727">
        <f t="shared" si="60"/>
        <v>1</v>
      </c>
      <c r="K727">
        <f t="shared" si="61"/>
        <v>1</v>
      </c>
      <c r="L727">
        <f t="shared" si="62"/>
        <v>4</v>
      </c>
    </row>
    <row r="728" spans="1:12" x14ac:dyDescent="0.35">
      <c r="A728">
        <v>7971</v>
      </c>
      <c r="B728" s="3">
        <f>H$6-_xlfn.MAXIFS(Table1[PurchaseDate],Table1[CustomerID],A728)</f>
        <v>13</v>
      </c>
      <c r="C728">
        <f>COUNTIF(Table1[CustomerID],A728)</f>
        <v>2</v>
      </c>
      <c r="D728" s="12">
        <f>SUMIF(Table1[CustomerID],A728,Table1[TransactionAmount])</f>
        <v>816.85</v>
      </c>
      <c r="E728" t="str">
        <f t="shared" si="58"/>
        <v>434</v>
      </c>
      <c r="F728" t="str">
        <f t="shared" si="59"/>
        <v>Champions</v>
      </c>
      <c r="J728">
        <f t="shared" si="60"/>
        <v>4</v>
      </c>
      <c r="K728">
        <f t="shared" si="61"/>
        <v>3</v>
      </c>
      <c r="L728">
        <f t="shared" si="62"/>
        <v>4</v>
      </c>
    </row>
    <row r="729" spans="1:12" x14ac:dyDescent="0.35">
      <c r="A729">
        <v>7981</v>
      </c>
      <c r="B729" s="3">
        <f>H$6-_xlfn.MAXIFS(Table1[PurchaseDate],Table1[CustomerID],A729)</f>
        <v>50</v>
      </c>
      <c r="C729">
        <f>COUNTIF(Table1[CustomerID],A729)</f>
        <v>1</v>
      </c>
      <c r="D729" s="12">
        <f>SUMIF(Table1[CustomerID],A729,Table1[TransactionAmount])</f>
        <v>692.87</v>
      </c>
      <c r="E729" t="str">
        <f t="shared" si="58"/>
        <v>114</v>
      </c>
      <c r="F729" t="str">
        <f t="shared" si="59"/>
        <v>Needs Attention</v>
      </c>
      <c r="J729">
        <f t="shared" si="60"/>
        <v>1</v>
      </c>
      <c r="K729">
        <f t="shared" si="61"/>
        <v>1</v>
      </c>
      <c r="L729">
        <f t="shared" si="62"/>
        <v>4</v>
      </c>
    </row>
    <row r="730" spans="1:12" x14ac:dyDescent="0.35">
      <c r="A730">
        <v>7984</v>
      </c>
      <c r="B730" s="3">
        <f>H$6-_xlfn.MAXIFS(Table1[PurchaseDate],Table1[CustomerID],A730)</f>
        <v>17</v>
      </c>
      <c r="C730">
        <f>COUNTIF(Table1[CustomerID],A730)</f>
        <v>1</v>
      </c>
      <c r="D730" s="12">
        <f>SUMIF(Table1[CustomerID],A730,Table1[TransactionAmount])</f>
        <v>116.88</v>
      </c>
      <c r="E730" t="str">
        <f t="shared" si="58"/>
        <v>411</v>
      </c>
      <c r="F730" t="str">
        <f t="shared" si="59"/>
        <v>Needs Attention</v>
      </c>
      <c r="J730">
        <f t="shared" si="60"/>
        <v>4</v>
      </c>
      <c r="K730">
        <f t="shared" si="61"/>
        <v>1</v>
      </c>
      <c r="L730">
        <f t="shared" si="62"/>
        <v>1</v>
      </c>
    </row>
    <row r="731" spans="1:12" x14ac:dyDescent="0.35">
      <c r="A731">
        <v>7997</v>
      </c>
      <c r="B731" s="3">
        <f>H$6-_xlfn.MAXIFS(Table1[PurchaseDate],Table1[CustomerID],A731)</f>
        <v>4</v>
      </c>
      <c r="C731">
        <f>COUNTIF(Table1[CustomerID],A731)</f>
        <v>1</v>
      </c>
      <c r="D731" s="12">
        <f>SUMIF(Table1[CustomerID],A731,Table1[TransactionAmount])</f>
        <v>113.06</v>
      </c>
      <c r="E731" t="str">
        <f t="shared" si="58"/>
        <v>511</v>
      </c>
      <c r="F731" t="str">
        <f t="shared" si="59"/>
        <v>Needs Attention</v>
      </c>
      <c r="J731">
        <f t="shared" si="60"/>
        <v>5</v>
      </c>
      <c r="K731">
        <f t="shared" si="61"/>
        <v>1</v>
      </c>
      <c r="L731">
        <f t="shared" si="62"/>
        <v>1</v>
      </c>
    </row>
    <row r="732" spans="1:12" x14ac:dyDescent="0.35">
      <c r="A732">
        <v>8001</v>
      </c>
      <c r="B732" s="3">
        <f>H$6-_xlfn.MAXIFS(Table1[PurchaseDate],Table1[CustomerID],A732)</f>
        <v>7</v>
      </c>
      <c r="C732">
        <f>COUNTIF(Table1[CustomerID],A732)</f>
        <v>1</v>
      </c>
      <c r="D732" s="12">
        <f>SUMIF(Table1[CustomerID],A732,Table1[TransactionAmount])</f>
        <v>554.97</v>
      </c>
      <c r="E732" t="str">
        <f t="shared" si="58"/>
        <v>513</v>
      </c>
      <c r="F732" t="str">
        <f t="shared" si="59"/>
        <v>Potential Loyalists</v>
      </c>
      <c r="J732">
        <f t="shared" si="60"/>
        <v>5</v>
      </c>
      <c r="K732">
        <f t="shared" si="61"/>
        <v>1</v>
      </c>
      <c r="L732">
        <f t="shared" si="62"/>
        <v>3</v>
      </c>
    </row>
    <row r="733" spans="1:12" x14ac:dyDescent="0.35">
      <c r="A733">
        <v>8017</v>
      </c>
      <c r="B733" s="3">
        <f>H$6-_xlfn.MAXIFS(Table1[PurchaseDate],Table1[CustomerID],A733)</f>
        <v>50</v>
      </c>
      <c r="C733">
        <f>COUNTIF(Table1[CustomerID],A733)</f>
        <v>1</v>
      </c>
      <c r="D733" s="12">
        <f>SUMIF(Table1[CustomerID],A733,Table1[TransactionAmount])</f>
        <v>14.78</v>
      </c>
      <c r="E733" t="str">
        <f t="shared" si="58"/>
        <v>111</v>
      </c>
      <c r="F733" t="str">
        <f t="shared" si="59"/>
        <v>At Risk</v>
      </c>
      <c r="J733">
        <f t="shared" si="60"/>
        <v>1</v>
      </c>
      <c r="K733">
        <f t="shared" si="61"/>
        <v>1</v>
      </c>
      <c r="L733">
        <f t="shared" si="62"/>
        <v>1</v>
      </c>
    </row>
    <row r="734" spans="1:12" x14ac:dyDescent="0.35">
      <c r="A734">
        <v>8043</v>
      </c>
      <c r="B734" s="3">
        <f>H$6-_xlfn.MAXIFS(Table1[PurchaseDate],Table1[CustomerID],A734)</f>
        <v>10</v>
      </c>
      <c r="C734">
        <f>COUNTIF(Table1[CustomerID],A734)</f>
        <v>1</v>
      </c>
      <c r="D734" s="12">
        <f>SUMIF(Table1[CustomerID],A734,Table1[TransactionAmount])</f>
        <v>584.17999999999995</v>
      </c>
      <c r="E734" t="str">
        <f t="shared" si="58"/>
        <v>513</v>
      </c>
      <c r="F734" t="str">
        <f t="shared" si="59"/>
        <v>Potential Loyalists</v>
      </c>
      <c r="J734">
        <f t="shared" si="60"/>
        <v>5</v>
      </c>
      <c r="K734">
        <f t="shared" si="61"/>
        <v>1</v>
      </c>
      <c r="L734">
        <f t="shared" si="62"/>
        <v>3</v>
      </c>
    </row>
    <row r="735" spans="1:12" x14ac:dyDescent="0.35">
      <c r="A735">
        <v>8061</v>
      </c>
      <c r="B735" s="3">
        <f>H$6-_xlfn.MAXIFS(Table1[PurchaseDate],Table1[CustomerID],A735)</f>
        <v>32</v>
      </c>
      <c r="C735">
        <f>COUNTIF(Table1[CustomerID],A735)</f>
        <v>1</v>
      </c>
      <c r="D735" s="12">
        <f>SUMIF(Table1[CustomerID],A735,Table1[TransactionAmount])</f>
        <v>561.41999999999996</v>
      </c>
      <c r="E735" t="str">
        <f t="shared" si="58"/>
        <v>313</v>
      </c>
      <c r="F735" t="str">
        <f t="shared" si="59"/>
        <v>Potential Loyalists</v>
      </c>
      <c r="J735">
        <f t="shared" si="60"/>
        <v>3</v>
      </c>
      <c r="K735">
        <f t="shared" si="61"/>
        <v>1</v>
      </c>
      <c r="L735">
        <f t="shared" si="62"/>
        <v>3</v>
      </c>
    </row>
    <row r="736" spans="1:12" x14ac:dyDescent="0.35">
      <c r="A736">
        <v>8078</v>
      </c>
      <c r="B736" s="3">
        <f>H$6-_xlfn.MAXIFS(Table1[PurchaseDate],Table1[CustomerID],A736)</f>
        <v>13</v>
      </c>
      <c r="C736">
        <f>COUNTIF(Table1[CustomerID],A736)</f>
        <v>1</v>
      </c>
      <c r="D736" s="12">
        <f>SUMIF(Table1[CustomerID],A736,Table1[TransactionAmount])</f>
        <v>329.1</v>
      </c>
      <c r="E736" t="str">
        <f t="shared" si="58"/>
        <v>412</v>
      </c>
      <c r="F736" t="str">
        <f t="shared" si="59"/>
        <v>Needs Attention</v>
      </c>
      <c r="J736">
        <f t="shared" si="60"/>
        <v>4</v>
      </c>
      <c r="K736">
        <f t="shared" si="61"/>
        <v>1</v>
      </c>
      <c r="L736">
        <f t="shared" si="62"/>
        <v>2</v>
      </c>
    </row>
    <row r="737" spans="1:12" x14ac:dyDescent="0.35">
      <c r="A737">
        <v>8094</v>
      </c>
      <c r="B737" s="3">
        <f>H$6-_xlfn.MAXIFS(Table1[PurchaseDate],Table1[CustomerID],A737)</f>
        <v>40</v>
      </c>
      <c r="C737">
        <f>COUNTIF(Table1[CustomerID],A737)</f>
        <v>1</v>
      </c>
      <c r="D737" s="12">
        <f>SUMIF(Table1[CustomerID],A737,Table1[TransactionAmount])</f>
        <v>26.72</v>
      </c>
      <c r="E737" t="str">
        <f t="shared" si="58"/>
        <v>211</v>
      </c>
      <c r="F737" t="str">
        <f t="shared" si="59"/>
        <v>At Risk</v>
      </c>
      <c r="J737">
        <f t="shared" si="60"/>
        <v>2</v>
      </c>
      <c r="K737">
        <f t="shared" si="61"/>
        <v>1</v>
      </c>
      <c r="L737">
        <f t="shared" si="62"/>
        <v>1</v>
      </c>
    </row>
    <row r="738" spans="1:12" x14ac:dyDescent="0.35">
      <c r="A738">
        <v>8105</v>
      </c>
      <c r="B738" s="3">
        <f>H$6-_xlfn.MAXIFS(Table1[PurchaseDate],Table1[CustomerID],A738)</f>
        <v>4</v>
      </c>
      <c r="C738">
        <f>COUNTIF(Table1[CustomerID],A738)</f>
        <v>1</v>
      </c>
      <c r="D738" s="12">
        <f>SUMIF(Table1[CustomerID],A738,Table1[TransactionAmount])</f>
        <v>689.91</v>
      </c>
      <c r="E738" t="str">
        <f t="shared" si="58"/>
        <v>514</v>
      </c>
      <c r="F738" t="str">
        <f t="shared" si="59"/>
        <v>Potential Loyalists</v>
      </c>
      <c r="J738">
        <f t="shared" si="60"/>
        <v>5</v>
      </c>
      <c r="K738">
        <f t="shared" si="61"/>
        <v>1</v>
      </c>
      <c r="L738">
        <f t="shared" si="62"/>
        <v>4</v>
      </c>
    </row>
    <row r="739" spans="1:12" x14ac:dyDescent="0.35">
      <c r="A739">
        <v>8123</v>
      </c>
      <c r="B739" s="3">
        <f>H$6-_xlfn.MAXIFS(Table1[PurchaseDate],Table1[CustomerID],A739)</f>
        <v>50</v>
      </c>
      <c r="C739">
        <f>COUNTIF(Table1[CustomerID],A739)</f>
        <v>1</v>
      </c>
      <c r="D739" s="12">
        <f>SUMIF(Table1[CustomerID],A739,Table1[TransactionAmount])</f>
        <v>459.19</v>
      </c>
      <c r="E739" t="str">
        <f t="shared" si="58"/>
        <v>113</v>
      </c>
      <c r="F739" t="str">
        <f t="shared" si="59"/>
        <v>Needs Attention</v>
      </c>
      <c r="J739">
        <f t="shared" si="60"/>
        <v>1</v>
      </c>
      <c r="K739">
        <f t="shared" si="61"/>
        <v>1</v>
      </c>
      <c r="L739">
        <f t="shared" si="62"/>
        <v>3</v>
      </c>
    </row>
    <row r="740" spans="1:12" x14ac:dyDescent="0.35">
      <c r="A740">
        <v>8126</v>
      </c>
      <c r="B740" s="3">
        <f>H$6-_xlfn.MAXIFS(Table1[PurchaseDate],Table1[CustomerID],A740)</f>
        <v>27</v>
      </c>
      <c r="C740">
        <f>COUNTIF(Table1[CustomerID],A740)</f>
        <v>1</v>
      </c>
      <c r="D740" s="12">
        <f>SUMIF(Table1[CustomerID],A740,Table1[TransactionAmount])</f>
        <v>643.39</v>
      </c>
      <c r="E740" t="str">
        <f t="shared" si="58"/>
        <v>313</v>
      </c>
      <c r="F740" t="str">
        <f t="shared" si="59"/>
        <v>Potential Loyalists</v>
      </c>
      <c r="J740">
        <f t="shared" si="60"/>
        <v>3</v>
      </c>
      <c r="K740">
        <f t="shared" si="61"/>
        <v>1</v>
      </c>
      <c r="L740">
        <f t="shared" si="62"/>
        <v>3</v>
      </c>
    </row>
    <row r="741" spans="1:12" x14ac:dyDescent="0.35">
      <c r="A741">
        <v>8135</v>
      </c>
      <c r="B741" s="3">
        <f>H$6-_xlfn.MAXIFS(Table1[PurchaseDate],Table1[CustomerID],A741)</f>
        <v>49</v>
      </c>
      <c r="C741">
        <f>COUNTIF(Table1[CustomerID],A741)</f>
        <v>1</v>
      </c>
      <c r="D741" s="12">
        <f>SUMIF(Table1[CustomerID],A741,Table1[TransactionAmount])</f>
        <v>736.46</v>
      </c>
      <c r="E741" t="str">
        <f t="shared" si="58"/>
        <v>114</v>
      </c>
      <c r="F741" t="str">
        <f t="shared" si="59"/>
        <v>Needs Attention</v>
      </c>
      <c r="J741">
        <f t="shared" si="60"/>
        <v>1</v>
      </c>
      <c r="K741">
        <f t="shared" si="61"/>
        <v>1</v>
      </c>
      <c r="L741">
        <f t="shared" si="62"/>
        <v>4</v>
      </c>
    </row>
    <row r="742" spans="1:12" x14ac:dyDescent="0.35">
      <c r="A742">
        <v>8145</v>
      </c>
      <c r="B742" s="3">
        <f>H$6-_xlfn.MAXIFS(Table1[PurchaseDate],Table1[CustomerID],A742)</f>
        <v>43</v>
      </c>
      <c r="C742">
        <f>COUNTIF(Table1[CustomerID],A742)</f>
        <v>1</v>
      </c>
      <c r="D742" s="12">
        <f>SUMIF(Table1[CustomerID],A742,Table1[TransactionAmount])</f>
        <v>841.71</v>
      </c>
      <c r="E742" t="str">
        <f t="shared" si="58"/>
        <v>215</v>
      </c>
      <c r="F742" t="str">
        <f t="shared" si="59"/>
        <v>Needs Attention</v>
      </c>
      <c r="J742">
        <f t="shared" si="60"/>
        <v>2</v>
      </c>
      <c r="K742">
        <f t="shared" si="61"/>
        <v>1</v>
      </c>
      <c r="L742">
        <f t="shared" si="62"/>
        <v>5</v>
      </c>
    </row>
    <row r="743" spans="1:12" x14ac:dyDescent="0.35">
      <c r="A743">
        <v>8149</v>
      </c>
      <c r="B743" s="3">
        <f>H$6-_xlfn.MAXIFS(Table1[PurchaseDate],Table1[CustomerID],A743)</f>
        <v>22</v>
      </c>
      <c r="C743">
        <f>COUNTIF(Table1[CustomerID],A743)</f>
        <v>1</v>
      </c>
      <c r="D743" s="12">
        <f>SUMIF(Table1[CustomerID],A743,Table1[TransactionAmount])</f>
        <v>984.39</v>
      </c>
      <c r="E743" t="str">
        <f t="shared" si="58"/>
        <v>415</v>
      </c>
      <c r="F743" t="str">
        <f t="shared" si="59"/>
        <v>Potential Loyalists</v>
      </c>
      <c r="J743">
        <f t="shared" si="60"/>
        <v>4</v>
      </c>
      <c r="K743">
        <f t="shared" si="61"/>
        <v>1</v>
      </c>
      <c r="L743">
        <f t="shared" si="62"/>
        <v>5</v>
      </c>
    </row>
    <row r="744" spans="1:12" x14ac:dyDescent="0.35">
      <c r="A744">
        <v>8161</v>
      </c>
      <c r="B744" s="3">
        <f>H$6-_xlfn.MAXIFS(Table1[PurchaseDate],Table1[CustomerID],A744)</f>
        <v>35</v>
      </c>
      <c r="C744">
        <f>COUNTIF(Table1[CustomerID],A744)</f>
        <v>1</v>
      </c>
      <c r="D744" s="12">
        <f>SUMIF(Table1[CustomerID],A744,Table1[TransactionAmount])</f>
        <v>257.39999999999998</v>
      </c>
      <c r="E744" t="str">
        <f t="shared" si="58"/>
        <v>312</v>
      </c>
      <c r="F744" t="str">
        <f t="shared" si="59"/>
        <v>Needs Attention</v>
      </c>
      <c r="J744">
        <f t="shared" si="60"/>
        <v>3</v>
      </c>
      <c r="K744">
        <f t="shared" si="61"/>
        <v>1</v>
      </c>
      <c r="L744">
        <f t="shared" si="62"/>
        <v>2</v>
      </c>
    </row>
    <row r="745" spans="1:12" x14ac:dyDescent="0.35">
      <c r="A745">
        <v>8178</v>
      </c>
      <c r="B745" s="3">
        <f>H$6-_xlfn.MAXIFS(Table1[PurchaseDate],Table1[CustomerID],A745)</f>
        <v>49</v>
      </c>
      <c r="C745">
        <f>COUNTIF(Table1[CustomerID],A745)</f>
        <v>1</v>
      </c>
      <c r="D745" s="12">
        <f>SUMIF(Table1[CustomerID],A745,Table1[TransactionAmount])</f>
        <v>615.21</v>
      </c>
      <c r="E745" t="str">
        <f t="shared" si="58"/>
        <v>113</v>
      </c>
      <c r="F745" t="str">
        <f t="shared" si="59"/>
        <v>Needs Attention</v>
      </c>
      <c r="J745">
        <f t="shared" si="60"/>
        <v>1</v>
      </c>
      <c r="K745">
        <f t="shared" si="61"/>
        <v>1</v>
      </c>
      <c r="L745">
        <f t="shared" si="62"/>
        <v>3</v>
      </c>
    </row>
    <row r="746" spans="1:12" x14ac:dyDescent="0.35">
      <c r="A746">
        <v>8179</v>
      </c>
      <c r="B746" s="3">
        <f>H$6-_xlfn.MAXIFS(Table1[PurchaseDate],Table1[CustomerID],A746)</f>
        <v>14</v>
      </c>
      <c r="C746">
        <f>COUNTIF(Table1[CustomerID],A746)</f>
        <v>1</v>
      </c>
      <c r="D746" s="12">
        <f>SUMIF(Table1[CustomerID],A746,Table1[TransactionAmount])</f>
        <v>425.46</v>
      </c>
      <c r="E746" t="str">
        <f t="shared" si="58"/>
        <v>412</v>
      </c>
      <c r="F746" t="str">
        <f t="shared" si="59"/>
        <v>Needs Attention</v>
      </c>
      <c r="J746">
        <f t="shared" si="60"/>
        <v>4</v>
      </c>
      <c r="K746">
        <f t="shared" si="61"/>
        <v>1</v>
      </c>
      <c r="L746">
        <f t="shared" si="62"/>
        <v>2</v>
      </c>
    </row>
    <row r="747" spans="1:12" x14ac:dyDescent="0.35">
      <c r="A747">
        <v>8195</v>
      </c>
      <c r="B747" s="3">
        <f>H$6-_xlfn.MAXIFS(Table1[PurchaseDate],Table1[CustomerID],A747)</f>
        <v>53</v>
      </c>
      <c r="C747">
        <f>COUNTIF(Table1[CustomerID],A747)</f>
        <v>1</v>
      </c>
      <c r="D747" s="12">
        <f>SUMIF(Table1[CustomerID],A747,Table1[TransactionAmount])</f>
        <v>474.01</v>
      </c>
      <c r="E747" t="str">
        <f t="shared" si="58"/>
        <v>113</v>
      </c>
      <c r="F747" t="str">
        <f t="shared" si="59"/>
        <v>Needs Attention</v>
      </c>
      <c r="J747">
        <f t="shared" si="60"/>
        <v>1</v>
      </c>
      <c r="K747">
        <f t="shared" si="61"/>
        <v>1</v>
      </c>
      <c r="L747">
        <f t="shared" si="62"/>
        <v>3</v>
      </c>
    </row>
    <row r="748" spans="1:12" x14ac:dyDescent="0.35">
      <c r="A748">
        <v>8199</v>
      </c>
      <c r="B748" s="3">
        <f>H$6-_xlfn.MAXIFS(Table1[PurchaseDate],Table1[CustomerID],A748)</f>
        <v>27</v>
      </c>
      <c r="C748">
        <f>COUNTIF(Table1[CustomerID],A748)</f>
        <v>1</v>
      </c>
      <c r="D748" s="12">
        <f>SUMIF(Table1[CustomerID],A748,Table1[TransactionAmount])</f>
        <v>527.52</v>
      </c>
      <c r="E748" t="str">
        <f t="shared" si="58"/>
        <v>313</v>
      </c>
      <c r="F748" t="str">
        <f t="shared" si="59"/>
        <v>Potential Loyalists</v>
      </c>
      <c r="J748">
        <f t="shared" si="60"/>
        <v>3</v>
      </c>
      <c r="K748">
        <f t="shared" si="61"/>
        <v>1</v>
      </c>
      <c r="L748">
        <f t="shared" si="62"/>
        <v>3</v>
      </c>
    </row>
    <row r="749" spans="1:12" x14ac:dyDescent="0.35">
      <c r="A749">
        <v>8201</v>
      </c>
      <c r="B749" s="3">
        <f>H$6-_xlfn.MAXIFS(Table1[PurchaseDate],Table1[CustomerID],A749)</f>
        <v>35</v>
      </c>
      <c r="C749">
        <f>COUNTIF(Table1[CustomerID],A749)</f>
        <v>1</v>
      </c>
      <c r="D749" s="12">
        <f>SUMIF(Table1[CustomerID],A749,Table1[TransactionAmount])</f>
        <v>885.55</v>
      </c>
      <c r="E749" t="str">
        <f t="shared" si="58"/>
        <v>315</v>
      </c>
      <c r="F749" t="str">
        <f t="shared" si="59"/>
        <v>Potential Loyalists</v>
      </c>
      <c r="J749">
        <f t="shared" si="60"/>
        <v>3</v>
      </c>
      <c r="K749">
        <f t="shared" si="61"/>
        <v>1</v>
      </c>
      <c r="L749">
        <f t="shared" si="62"/>
        <v>5</v>
      </c>
    </row>
    <row r="750" spans="1:12" x14ac:dyDescent="0.35">
      <c r="A750">
        <v>8210</v>
      </c>
      <c r="B750" s="3">
        <f>H$6-_xlfn.MAXIFS(Table1[PurchaseDate],Table1[CustomerID],A750)</f>
        <v>38</v>
      </c>
      <c r="C750">
        <f>COUNTIF(Table1[CustomerID],A750)</f>
        <v>1</v>
      </c>
      <c r="D750" s="12">
        <f>SUMIF(Table1[CustomerID],A750,Table1[TransactionAmount])</f>
        <v>725.21</v>
      </c>
      <c r="E750" t="str">
        <f t="shared" si="58"/>
        <v>214</v>
      </c>
      <c r="F750" t="str">
        <f t="shared" si="59"/>
        <v>Needs Attention</v>
      </c>
      <c r="J750">
        <f t="shared" si="60"/>
        <v>2</v>
      </c>
      <c r="K750">
        <f t="shared" si="61"/>
        <v>1</v>
      </c>
      <c r="L750">
        <f t="shared" si="62"/>
        <v>4</v>
      </c>
    </row>
    <row r="751" spans="1:12" x14ac:dyDescent="0.35">
      <c r="A751">
        <v>8216</v>
      </c>
      <c r="B751" s="3">
        <f>H$6-_xlfn.MAXIFS(Table1[PurchaseDate],Table1[CustomerID],A751)</f>
        <v>39</v>
      </c>
      <c r="C751">
        <f>COUNTIF(Table1[CustomerID],A751)</f>
        <v>2</v>
      </c>
      <c r="D751" s="12">
        <f>SUMIF(Table1[CustomerID],A751,Table1[TransactionAmount])</f>
        <v>1117.49</v>
      </c>
      <c r="E751" t="str">
        <f t="shared" si="58"/>
        <v>235</v>
      </c>
      <c r="F751" t="str">
        <f t="shared" si="59"/>
        <v>Needs Attention</v>
      </c>
      <c r="J751">
        <f t="shared" si="60"/>
        <v>2</v>
      </c>
      <c r="K751">
        <f t="shared" si="61"/>
        <v>3</v>
      </c>
      <c r="L751">
        <f t="shared" si="62"/>
        <v>5</v>
      </c>
    </row>
    <row r="752" spans="1:12" x14ac:dyDescent="0.35">
      <c r="A752">
        <v>8225</v>
      </c>
      <c r="B752" s="3">
        <f>H$6-_xlfn.MAXIFS(Table1[PurchaseDate],Table1[CustomerID],A752)</f>
        <v>40</v>
      </c>
      <c r="C752">
        <f>COUNTIF(Table1[CustomerID],A752)</f>
        <v>1</v>
      </c>
      <c r="D752" s="12">
        <f>SUMIF(Table1[CustomerID],A752,Table1[TransactionAmount])</f>
        <v>424.59</v>
      </c>
      <c r="E752" t="str">
        <f t="shared" si="58"/>
        <v>212</v>
      </c>
      <c r="F752" t="str">
        <f t="shared" si="59"/>
        <v>At Risk</v>
      </c>
      <c r="J752">
        <f t="shared" si="60"/>
        <v>2</v>
      </c>
      <c r="K752">
        <f t="shared" si="61"/>
        <v>1</v>
      </c>
      <c r="L752">
        <f t="shared" si="62"/>
        <v>2</v>
      </c>
    </row>
    <row r="753" spans="1:12" x14ac:dyDescent="0.35">
      <c r="A753">
        <v>8239</v>
      </c>
      <c r="B753" s="3">
        <f>H$6-_xlfn.MAXIFS(Table1[PurchaseDate],Table1[CustomerID],A753)</f>
        <v>55</v>
      </c>
      <c r="C753">
        <f>COUNTIF(Table1[CustomerID],A753)</f>
        <v>1</v>
      </c>
      <c r="D753" s="12">
        <f>SUMIF(Table1[CustomerID],A753,Table1[TransactionAmount])</f>
        <v>605.20000000000005</v>
      </c>
      <c r="E753" t="str">
        <f t="shared" si="58"/>
        <v>113</v>
      </c>
      <c r="F753" t="str">
        <f t="shared" si="59"/>
        <v>Needs Attention</v>
      </c>
      <c r="J753">
        <f t="shared" si="60"/>
        <v>1</v>
      </c>
      <c r="K753">
        <f t="shared" si="61"/>
        <v>1</v>
      </c>
      <c r="L753">
        <f t="shared" si="62"/>
        <v>3</v>
      </c>
    </row>
    <row r="754" spans="1:12" x14ac:dyDescent="0.35">
      <c r="A754">
        <v>8242</v>
      </c>
      <c r="B754" s="3">
        <f>H$6-_xlfn.MAXIFS(Table1[PurchaseDate],Table1[CustomerID],A754)</f>
        <v>12</v>
      </c>
      <c r="C754">
        <f>COUNTIF(Table1[CustomerID],A754)</f>
        <v>1</v>
      </c>
      <c r="D754" s="12">
        <f>SUMIF(Table1[CustomerID],A754,Table1[TransactionAmount])</f>
        <v>61.1</v>
      </c>
      <c r="E754" t="str">
        <f t="shared" si="58"/>
        <v>511</v>
      </c>
      <c r="F754" t="str">
        <f t="shared" si="59"/>
        <v>Needs Attention</v>
      </c>
      <c r="J754">
        <f t="shared" si="60"/>
        <v>5</v>
      </c>
      <c r="K754">
        <f t="shared" si="61"/>
        <v>1</v>
      </c>
      <c r="L754">
        <f t="shared" si="62"/>
        <v>1</v>
      </c>
    </row>
    <row r="755" spans="1:12" x14ac:dyDescent="0.35">
      <c r="A755">
        <v>8244</v>
      </c>
      <c r="B755" s="3">
        <f>H$6-_xlfn.MAXIFS(Table1[PurchaseDate],Table1[CustomerID],A755)</f>
        <v>17</v>
      </c>
      <c r="C755">
        <f>COUNTIF(Table1[CustomerID],A755)</f>
        <v>1</v>
      </c>
      <c r="D755" s="12">
        <f>SUMIF(Table1[CustomerID],A755,Table1[TransactionAmount])</f>
        <v>221.56</v>
      </c>
      <c r="E755" t="str">
        <f t="shared" si="58"/>
        <v>412</v>
      </c>
      <c r="F755" t="str">
        <f t="shared" si="59"/>
        <v>Needs Attention</v>
      </c>
      <c r="J755">
        <f t="shared" si="60"/>
        <v>4</v>
      </c>
      <c r="K755">
        <f t="shared" si="61"/>
        <v>1</v>
      </c>
      <c r="L755">
        <f t="shared" si="62"/>
        <v>2</v>
      </c>
    </row>
    <row r="756" spans="1:12" x14ac:dyDescent="0.35">
      <c r="A756">
        <v>8251</v>
      </c>
      <c r="B756" s="3">
        <f>H$6-_xlfn.MAXIFS(Table1[PurchaseDate],Table1[CustomerID],A756)</f>
        <v>21</v>
      </c>
      <c r="C756">
        <f>COUNTIF(Table1[CustomerID],A756)</f>
        <v>1</v>
      </c>
      <c r="D756" s="12">
        <f>SUMIF(Table1[CustomerID],A756,Table1[TransactionAmount])</f>
        <v>816.86</v>
      </c>
      <c r="E756" t="str">
        <f t="shared" si="58"/>
        <v>414</v>
      </c>
      <c r="F756" t="str">
        <f t="shared" si="59"/>
        <v>Potential Loyalists</v>
      </c>
      <c r="J756">
        <f t="shared" si="60"/>
        <v>4</v>
      </c>
      <c r="K756">
        <f t="shared" si="61"/>
        <v>1</v>
      </c>
      <c r="L756">
        <f t="shared" si="62"/>
        <v>4</v>
      </c>
    </row>
    <row r="757" spans="1:12" x14ac:dyDescent="0.35">
      <c r="A757">
        <v>8254</v>
      </c>
      <c r="B757" s="3">
        <f>H$6-_xlfn.MAXIFS(Table1[PurchaseDate],Table1[CustomerID],A757)</f>
        <v>36</v>
      </c>
      <c r="C757">
        <f>COUNTIF(Table1[CustomerID],A757)</f>
        <v>1</v>
      </c>
      <c r="D757" s="12">
        <f>SUMIF(Table1[CustomerID],A757,Table1[TransactionAmount])</f>
        <v>567.54</v>
      </c>
      <c r="E757" t="str">
        <f t="shared" si="58"/>
        <v>313</v>
      </c>
      <c r="F757" t="str">
        <f t="shared" si="59"/>
        <v>Potential Loyalists</v>
      </c>
      <c r="J757">
        <f t="shared" si="60"/>
        <v>3</v>
      </c>
      <c r="K757">
        <f t="shared" si="61"/>
        <v>1</v>
      </c>
      <c r="L757">
        <f t="shared" si="62"/>
        <v>3</v>
      </c>
    </row>
    <row r="758" spans="1:12" x14ac:dyDescent="0.35">
      <c r="A758">
        <v>8269</v>
      </c>
      <c r="B758" s="3">
        <f>H$6-_xlfn.MAXIFS(Table1[PurchaseDate],Table1[CustomerID],A758)</f>
        <v>50</v>
      </c>
      <c r="C758">
        <f>COUNTIF(Table1[CustomerID],A758)</f>
        <v>1</v>
      </c>
      <c r="D758" s="12">
        <f>SUMIF(Table1[CustomerID],A758,Table1[TransactionAmount])</f>
        <v>697.06</v>
      </c>
      <c r="E758" t="str">
        <f t="shared" si="58"/>
        <v>114</v>
      </c>
      <c r="F758" t="str">
        <f t="shared" si="59"/>
        <v>Needs Attention</v>
      </c>
      <c r="J758">
        <f t="shared" si="60"/>
        <v>1</v>
      </c>
      <c r="K758">
        <f t="shared" si="61"/>
        <v>1</v>
      </c>
      <c r="L758">
        <f t="shared" si="62"/>
        <v>4</v>
      </c>
    </row>
    <row r="759" spans="1:12" x14ac:dyDescent="0.35">
      <c r="A759">
        <v>8273</v>
      </c>
      <c r="B759" s="3">
        <f>H$6-_xlfn.MAXIFS(Table1[PurchaseDate],Table1[CustomerID],A759)</f>
        <v>12</v>
      </c>
      <c r="C759">
        <f>COUNTIF(Table1[CustomerID],A759)</f>
        <v>1</v>
      </c>
      <c r="D759" s="12">
        <f>SUMIF(Table1[CustomerID],A759,Table1[TransactionAmount])</f>
        <v>86.12</v>
      </c>
      <c r="E759" t="str">
        <f t="shared" si="58"/>
        <v>511</v>
      </c>
      <c r="F759" t="str">
        <f t="shared" si="59"/>
        <v>Needs Attention</v>
      </c>
      <c r="J759">
        <f t="shared" si="60"/>
        <v>5</v>
      </c>
      <c r="K759">
        <f t="shared" si="61"/>
        <v>1</v>
      </c>
      <c r="L759">
        <f t="shared" si="62"/>
        <v>1</v>
      </c>
    </row>
    <row r="760" spans="1:12" x14ac:dyDescent="0.35">
      <c r="A760">
        <v>8292</v>
      </c>
      <c r="B760" s="3">
        <f>H$6-_xlfn.MAXIFS(Table1[PurchaseDate],Table1[CustomerID],A760)</f>
        <v>55</v>
      </c>
      <c r="C760">
        <f>COUNTIF(Table1[CustomerID],A760)</f>
        <v>1</v>
      </c>
      <c r="D760" s="12">
        <f>SUMIF(Table1[CustomerID],A760,Table1[TransactionAmount])</f>
        <v>812.41</v>
      </c>
      <c r="E760" t="str">
        <f t="shared" si="58"/>
        <v>114</v>
      </c>
      <c r="F760" t="str">
        <f t="shared" si="59"/>
        <v>Needs Attention</v>
      </c>
      <c r="J760">
        <f t="shared" si="60"/>
        <v>1</v>
      </c>
      <c r="K760">
        <f t="shared" si="61"/>
        <v>1</v>
      </c>
      <c r="L760">
        <f t="shared" si="62"/>
        <v>4</v>
      </c>
    </row>
    <row r="761" spans="1:12" x14ac:dyDescent="0.35">
      <c r="A761">
        <v>8300</v>
      </c>
      <c r="B761" s="3">
        <f>H$6-_xlfn.MAXIFS(Table1[PurchaseDate],Table1[CustomerID],A761)</f>
        <v>12</v>
      </c>
      <c r="C761">
        <f>COUNTIF(Table1[CustomerID],A761)</f>
        <v>1</v>
      </c>
      <c r="D761" s="12">
        <f>SUMIF(Table1[CustomerID],A761,Table1[TransactionAmount])</f>
        <v>599.17999999999995</v>
      </c>
      <c r="E761" t="str">
        <f t="shared" si="58"/>
        <v>513</v>
      </c>
      <c r="F761" t="str">
        <f t="shared" si="59"/>
        <v>Potential Loyalists</v>
      </c>
      <c r="J761">
        <f t="shared" si="60"/>
        <v>5</v>
      </c>
      <c r="K761">
        <f t="shared" si="61"/>
        <v>1</v>
      </c>
      <c r="L761">
        <f t="shared" si="62"/>
        <v>3</v>
      </c>
    </row>
    <row r="762" spans="1:12" x14ac:dyDescent="0.35">
      <c r="A762">
        <v>8310</v>
      </c>
      <c r="B762" s="3">
        <f>H$6-_xlfn.MAXIFS(Table1[PurchaseDate],Table1[CustomerID],A762)</f>
        <v>50</v>
      </c>
      <c r="C762">
        <f>COUNTIF(Table1[CustomerID],A762)</f>
        <v>1</v>
      </c>
      <c r="D762" s="12">
        <f>SUMIF(Table1[CustomerID],A762,Table1[TransactionAmount])</f>
        <v>187.35</v>
      </c>
      <c r="E762" t="str">
        <f t="shared" si="58"/>
        <v>111</v>
      </c>
      <c r="F762" t="str">
        <f t="shared" si="59"/>
        <v>At Risk</v>
      </c>
      <c r="J762">
        <f t="shared" si="60"/>
        <v>1</v>
      </c>
      <c r="K762">
        <f t="shared" si="61"/>
        <v>1</v>
      </c>
      <c r="L762">
        <f t="shared" si="62"/>
        <v>1</v>
      </c>
    </row>
    <row r="763" spans="1:12" x14ac:dyDescent="0.35">
      <c r="A763">
        <v>8311</v>
      </c>
      <c r="B763" s="3">
        <f>H$6-_xlfn.MAXIFS(Table1[PurchaseDate],Table1[CustomerID],A763)</f>
        <v>47</v>
      </c>
      <c r="C763">
        <f>COUNTIF(Table1[CustomerID],A763)</f>
        <v>1</v>
      </c>
      <c r="D763" s="12">
        <f>SUMIF(Table1[CustomerID],A763,Table1[TransactionAmount])</f>
        <v>996.4</v>
      </c>
      <c r="E763" t="str">
        <f t="shared" si="58"/>
        <v>215</v>
      </c>
      <c r="F763" t="str">
        <f t="shared" si="59"/>
        <v>Needs Attention</v>
      </c>
      <c r="J763">
        <f t="shared" si="60"/>
        <v>2</v>
      </c>
      <c r="K763">
        <f t="shared" si="61"/>
        <v>1</v>
      </c>
      <c r="L763">
        <f t="shared" si="62"/>
        <v>5</v>
      </c>
    </row>
    <row r="764" spans="1:12" x14ac:dyDescent="0.35">
      <c r="A764">
        <v>8317</v>
      </c>
      <c r="B764" s="3">
        <f>H$6-_xlfn.MAXIFS(Table1[PurchaseDate],Table1[CustomerID],A764)</f>
        <v>10</v>
      </c>
      <c r="C764">
        <f>COUNTIF(Table1[CustomerID],A764)</f>
        <v>2</v>
      </c>
      <c r="D764" s="12">
        <f>SUMIF(Table1[CustomerID],A764,Table1[TransactionAmount])</f>
        <v>974.88000000000011</v>
      </c>
      <c r="E764" t="str">
        <f t="shared" si="58"/>
        <v>535</v>
      </c>
      <c r="F764" t="str">
        <f t="shared" si="59"/>
        <v>Champions</v>
      </c>
      <c r="J764">
        <f t="shared" si="60"/>
        <v>5</v>
      </c>
      <c r="K764">
        <f t="shared" si="61"/>
        <v>3</v>
      </c>
      <c r="L764">
        <f t="shared" si="62"/>
        <v>5</v>
      </c>
    </row>
    <row r="765" spans="1:12" x14ac:dyDescent="0.35">
      <c r="A765">
        <v>8324</v>
      </c>
      <c r="B765" s="3">
        <f>H$6-_xlfn.MAXIFS(Table1[PurchaseDate],Table1[CustomerID],A765)</f>
        <v>40</v>
      </c>
      <c r="C765">
        <f>COUNTIF(Table1[CustomerID],A765)</f>
        <v>1</v>
      </c>
      <c r="D765" s="12">
        <f>SUMIF(Table1[CustomerID],A765,Table1[TransactionAmount])</f>
        <v>127.52</v>
      </c>
      <c r="E765" t="str">
        <f t="shared" si="58"/>
        <v>211</v>
      </c>
      <c r="F765" t="str">
        <f t="shared" si="59"/>
        <v>At Risk</v>
      </c>
      <c r="J765">
        <f t="shared" si="60"/>
        <v>2</v>
      </c>
      <c r="K765">
        <f t="shared" si="61"/>
        <v>1</v>
      </c>
      <c r="L765">
        <f t="shared" si="62"/>
        <v>1</v>
      </c>
    </row>
    <row r="766" spans="1:12" x14ac:dyDescent="0.35">
      <c r="A766">
        <v>8342</v>
      </c>
      <c r="B766" s="3">
        <f>H$6-_xlfn.MAXIFS(Table1[PurchaseDate],Table1[CustomerID],A766)</f>
        <v>10</v>
      </c>
      <c r="C766">
        <f>COUNTIF(Table1[CustomerID],A766)</f>
        <v>1</v>
      </c>
      <c r="D766" s="12">
        <f>SUMIF(Table1[CustomerID],A766,Table1[TransactionAmount])</f>
        <v>27.07</v>
      </c>
      <c r="E766" t="str">
        <f t="shared" si="58"/>
        <v>511</v>
      </c>
      <c r="F766" t="str">
        <f t="shared" si="59"/>
        <v>Needs Attention</v>
      </c>
      <c r="J766">
        <f t="shared" si="60"/>
        <v>5</v>
      </c>
      <c r="K766">
        <f t="shared" si="61"/>
        <v>1</v>
      </c>
      <c r="L766">
        <f t="shared" si="62"/>
        <v>1</v>
      </c>
    </row>
    <row r="767" spans="1:12" x14ac:dyDescent="0.35">
      <c r="A767">
        <v>8355</v>
      </c>
      <c r="B767" s="3">
        <f>H$6-_xlfn.MAXIFS(Table1[PurchaseDate],Table1[CustomerID],A767)</f>
        <v>46</v>
      </c>
      <c r="C767">
        <f>COUNTIF(Table1[CustomerID],A767)</f>
        <v>1</v>
      </c>
      <c r="D767" s="12">
        <f>SUMIF(Table1[CustomerID],A767,Table1[TransactionAmount])</f>
        <v>538.66999999999996</v>
      </c>
      <c r="E767" t="str">
        <f t="shared" si="58"/>
        <v>213</v>
      </c>
      <c r="F767" t="str">
        <f t="shared" si="59"/>
        <v>Needs Attention</v>
      </c>
      <c r="J767">
        <f t="shared" si="60"/>
        <v>2</v>
      </c>
      <c r="K767">
        <f t="shared" si="61"/>
        <v>1</v>
      </c>
      <c r="L767">
        <f t="shared" si="62"/>
        <v>3</v>
      </c>
    </row>
    <row r="768" spans="1:12" x14ac:dyDescent="0.35">
      <c r="A768">
        <v>8359</v>
      </c>
      <c r="B768" s="3">
        <f>H$6-_xlfn.MAXIFS(Table1[PurchaseDate],Table1[CustomerID],A768)</f>
        <v>22</v>
      </c>
      <c r="C768">
        <f>COUNTIF(Table1[CustomerID],A768)</f>
        <v>1</v>
      </c>
      <c r="D768" s="12">
        <f>SUMIF(Table1[CustomerID],A768,Table1[TransactionAmount])</f>
        <v>992.85</v>
      </c>
      <c r="E768" t="str">
        <f t="shared" si="58"/>
        <v>415</v>
      </c>
      <c r="F768" t="str">
        <f t="shared" si="59"/>
        <v>Potential Loyalists</v>
      </c>
      <c r="J768">
        <f t="shared" si="60"/>
        <v>4</v>
      </c>
      <c r="K768">
        <f t="shared" si="61"/>
        <v>1</v>
      </c>
      <c r="L768">
        <f t="shared" si="62"/>
        <v>5</v>
      </c>
    </row>
    <row r="769" spans="1:12" x14ac:dyDescent="0.35">
      <c r="A769">
        <v>8362</v>
      </c>
      <c r="B769" s="3">
        <f>H$6-_xlfn.MAXIFS(Table1[PurchaseDate],Table1[CustomerID],A769)</f>
        <v>42</v>
      </c>
      <c r="C769">
        <f>COUNTIF(Table1[CustomerID],A769)</f>
        <v>1</v>
      </c>
      <c r="D769" s="12">
        <f>SUMIF(Table1[CustomerID],A769,Table1[TransactionAmount])</f>
        <v>821.22</v>
      </c>
      <c r="E769" t="str">
        <f t="shared" si="58"/>
        <v>215</v>
      </c>
      <c r="F769" t="str">
        <f t="shared" si="59"/>
        <v>Needs Attention</v>
      </c>
      <c r="J769">
        <f t="shared" si="60"/>
        <v>2</v>
      </c>
      <c r="K769">
        <f t="shared" si="61"/>
        <v>1</v>
      </c>
      <c r="L769">
        <f t="shared" si="62"/>
        <v>5</v>
      </c>
    </row>
    <row r="770" spans="1:12" x14ac:dyDescent="0.35">
      <c r="A770">
        <v>8368</v>
      </c>
      <c r="B770" s="3">
        <f>H$6-_xlfn.MAXIFS(Table1[PurchaseDate],Table1[CustomerID],A770)</f>
        <v>44</v>
      </c>
      <c r="C770">
        <f>COUNTIF(Table1[CustomerID],A770)</f>
        <v>1</v>
      </c>
      <c r="D770" s="12">
        <f>SUMIF(Table1[CustomerID],A770,Table1[TransactionAmount])</f>
        <v>355.09</v>
      </c>
      <c r="E770" t="str">
        <f t="shared" si="58"/>
        <v>212</v>
      </c>
      <c r="F770" t="str">
        <f t="shared" si="59"/>
        <v>At Risk</v>
      </c>
      <c r="J770">
        <f t="shared" si="60"/>
        <v>2</v>
      </c>
      <c r="K770">
        <f t="shared" si="61"/>
        <v>1</v>
      </c>
      <c r="L770">
        <f t="shared" si="62"/>
        <v>2</v>
      </c>
    </row>
    <row r="771" spans="1:12" x14ac:dyDescent="0.35">
      <c r="A771">
        <v>8369</v>
      </c>
      <c r="B771" s="3">
        <f>H$6-_xlfn.MAXIFS(Table1[PurchaseDate],Table1[CustomerID],A771)</f>
        <v>6</v>
      </c>
      <c r="C771">
        <f>COUNTIF(Table1[CustomerID],A771)</f>
        <v>1</v>
      </c>
      <c r="D771" s="12">
        <f>SUMIF(Table1[CustomerID],A771,Table1[TransactionAmount])</f>
        <v>377.37</v>
      </c>
      <c r="E771" t="str">
        <f t="shared" si="58"/>
        <v>512</v>
      </c>
      <c r="F771" t="str">
        <f t="shared" si="59"/>
        <v>Needs Attention</v>
      </c>
      <c r="J771">
        <f t="shared" si="60"/>
        <v>5</v>
      </c>
      <c r="K771">
        <f t="shared" si="61"/>
        <v>1</v>
      </c>
      <c r="L771">
        <f t="shared" si="62"/>
        <v>2</v>
      </c>
    </row>
    <row r="772" spans="1:12" x14ac:dyDescent="0.35">
      <c r="A772">
        <v>8370</v>
      </c>
      <c r="B772" s="3">
        <f>H$6-_xlfn.MAXIFS(Table1[PurchaseDate],Table1[CustomerID],A772)</f>
        <v>13</v>
      </c>
      <c r="C772">
        <f>COUNTIF(Table1[CustomerID],A772)</f>
        <v>1</v>
      </c>
      <c r="D772" s="12">
        <f>SUMIF(Table1[CustomerID],A772,Table1[TransactionAmount])</f>
        <v>341.31</v>
      </c>
      <c r="E772" t="str">
        <f t="shared" ref="E772:E835" si="63">J772&amp;K772&amp;L772</f>
        <v>412</v>
      </c>
      <c r="F772" t="str">
        <f t="shared" ref="F772:F835" si="64">IF(AND(J772&gt;=4,K772&gt;=3,L772&gt;=4),"Champions",IF(AND(J772&gt;=3,K772&gt;=2,L772&gt;=3),"Loyal Customers",IF(AND(J772&gt;=3,L772&gt;=3),"Potential Loyalists",IF(AND(J772&lt;=2,L772&lt;=2),"At Risk","Needs Attention"))))</f>
        <v>Needs Attention</v>
      </c>
      <c r="J772">
        <f t="shared" ref="J772:J835" si="65">ROUNDUP((COUNT($B$3:$B$948)-_xlfn.RANK.EQ(B772,$B$3:$B$948,1)+1)/COUNT($B$3:$B$948)*5,0)</f>
        <v>4</v>
      </c>
      <c r="K772">
        <f t="shared" ref="K772:K835" si="66">IF(C772=1,1,IF(C772=2,3,IF(C772=3,4,5)))</f>
        <v>1</v>
      </c>
      <c r="L772">
        <f t="shared" ref="L772:L835" si="67">IF(D772&gt;=_xlfn.PERCENTILE.INC($D$3:$D$948,0.8),5,IF(D772&gt;=_xlfn.PERCENTILE.INC($D$3:$D$948,0.6),4,IF(D772&gt;=_xlfn.PERCENTILE.INC($D$3:$D$948,0.4),3,IF(D772&gt;=_xlfn.PERCENTILE.INC($D$3:$D$948,0.2),2,1))))</f>
        <v>2</v>
      </c>
    </row>
    <row r="773" spans="1:12" x14ac:dyDescent="0.35">
      <c r="A773">
        <v>8372</v>
      </c>
      <c r="B773" s="3">
        <f>H$6-_xlfn.MAXIFS(Table1[PurchaseDate],Table1[CustomerID],A773)</f>
        <v>31</v>
      </c>
      <c r="C773">
        <f>COUNTIF(Table1[CustomerID],A773)</f>
        <v>1</v>
      </c>
      <c r="D773" s="12">
        <f>SUMIF(Table1[CustomerID],A773,Table1[TransactionAmount])</f>
        <v>683.31</v>
      </c>
      <c r="E773" t="str">
        <f t="shared" si="63"/>
        <v>314</v>
      </c>
      <c r="F773" t="str">
        <f t="shared" si="64"/>
        <v>Potential Loyalists</v>
      </c>
      <c r="J773">
        <f t="shared" si="65"/>
        <v>3</v>
      </c>
      <c r="K773">
        <f t="shared" si="66"/>
        <v>1</v>
      </c>
      <c r="L773">
        <f t="shared" si="67"/>
        <v>4</v>
      </c>
    </row>
    <row r="774" spans="1:12" x14ac:dyDescent="0.35">
      <c r="A774">
        <v>8381</v>
      </c>
      <c r="B774" s="3">
        <f>H$6-_xlfn.MAXIFS(Table1[PurchaseDate],Table1[CustomerID],A774)</f>
        <v>2</v>
      </c>
      <c r="C774">
        <f>COUNTIF(Table1[CustomerID],A774)</f>
        <v>1</v>
      </c>
      <c r="D774" s="12">
        <f>SUMIF(Table1[CustomerID],A774,Table1[TransactionAmount])</f>
        <v>448.29</v>
      </c>
      <c r="E774" t="str">
        <f t="shared" si="63"/>
        <v>513</v>
      </c>
      <c r="F774" t="str">
        <f t="shared" si="64"/>
        <v>Potential Loyalists</v>
      </c>
      <c r="J774">
        <f t="shared" si="65"/>
        <v>5</v>
      </c>
      <c r="K774">
        <f t="shared" si="66"/>
        <v>1</v>
      </c>
      <c r="L774">
        <f t="shared" si="67"/>
        <v>3</v>
      </c>
    </row>
    <row r="775" spans="1:12" x14ac:dyDescent="0.35">
      <c r="A775">
        <v>8399</v>
      </c>
      <c r="B775" s="3">
        <f>H$6-_xlfn.MAXIFS(Table1[PurchaseDate],Table1[CustomerID],A775)</f>
        <v>31</v>
      </c>
      <c r="C775">
        <f>COUNTIF(Table1[CustomerID],A775)</f>
        <v>1</v>
      </c>
      <c r="D775" s="12">
        <f>SUMIF(Table1[CustomerID],A775,Table1[TransactionAmount])</f>
        <v>828.74</v>
      </c>
      <c r="E775" t="str">
        <f t="shared" si="63"/>
        <v>315</v>
      </c>
      <c r="F775" t="str">
        <f t="shared" si="64"/>
        <v>Potential Loyalists</v>
      </c>
      <c r="J775">
        <f t="shared" si="65"/>
        <v>3</v>
      </c>
      <c r="K775">
        <f t="shared" si="66"/>
        <v>1</v>
      </c>
      <c r="L775">
        <f t="shared" si="67"/>
        <v>5</v>
      </c>
    </row>
    <row r="776" spans="1:12" x14ac:dyDescent="0.35">
      <c r="A776">
        <v>8405</v>
      </c>
      <c r="B776" s="3">
        <f>H$6-_xlfn.MAXIFS(Table1[PurchaseDate],Table1[CustomerID],A776)</f>
        <v>28</v>
      </c>
      <c r="C776">
        <f>COUNTIF(Table1[CustomerID],A776)</f>
        <v>1</v>
      </c>
      <c r="D776" s="12">
        <f>SUMIF(Table1[CustomerID],A776,Table1[TransactionAmount])</f>
        <v>229.33</v>
      </c>
      <c r="E776" t="str">
        <f t="shared" si="63"/>
        <v>312</v>
      </c>
      <c r="F776" t="str">
        <f t="shared" si="64"/>
        <v>Needs Attention</v>
      </c>
      <c r="J776">
        <f t="shared" si="65"/>
        <v>3</v>
      </c>
      <c r="K776">
        <f t="shared" si="66"/>
        <v>1</v>
      </c>
      <c r="L776">
        <f t="shared" si="67"/>
        <v>2</v>
      </c>
    </row>
    <row r="777" spans="1:12" x14ac:dyDescent="0.35">
      <c r="A777">
        <v>8414</v>
      </c>
      <c r="B777" s="3">
        <f>H$6-_xlfn.MAXIFS(Table1[PurchaseDate],Table1[CustomerID],A777)</f>
        <v>53</v>
      </c>
      <c r="C777">
        <f>COUNTIF(Table1[CustomerID],A777)</f>
        <v>1</v>
      </c>
      <c r="D777" s="12">
        <f>SUMIF(Table1[CustomerID],A777,Table1[TransactionAmount])</f>
        <v>106.46</v>
      </c>
      <c r="E777" t="str">
        <f t="shared" si="63"/>
        <v>111</v>
      </c>
      <c r="F777" t="str">
        <f t="shared" si="64"/>
        <v>At Risk</v>
      </c>
      <c r="J777">
        <f t="shared" si="65"/>
        <v>1</v>
      </c>
      <c r="K777">
        <f t="shared" si="66"/>
        <v>1</v>
      </c>
      <c r="L777">
        <f t="shared" si="67"/>
        <v>1</v>
      </c>
    </row>
    <row r="778" spans="1:12" x14ac:dyDescent="0.35">
      <c r="A778">
        <v>8418</v>
      </c>
      <c r="B778" s="3">
        <f>H$6-_xlfn.MAXIFS(Table1[PurchaseDate],Table1[CustomerID],A778)</f>
        <v>43</v>
      </c>
      <c r="C778">
        <f>COUNTIF(Table1[CustomerID],A778)</f>
        <v>1</v>
      </c>
      <c r="D778" s="12">
        <f>SUMIF(Table1[CustomerID],A778,Table1[TransactionAmount])</f>
        <v>703.47</v>
      </c>
      <c r="E778" t="str">
        <f t="shared" si="63"/>
        <v>214</v>
      </c>
      <c r="F778" t="str">
        <f t="shared" si="64"/>
        <v>Needs Attention</v>
      </c>
      <c r="J778">
        <f t="shared" si="65"/>
        <v>2</v>
      </c>
      <c r="K778">
        <f t="shared" si="66"/>
        <v>1</v>
      </c>
      <c r="L778">
        <f t="shared" si="67"/>
        <v>4</v>
      </c>
    </row>
    <row r="779" spans="1:12" x14ac:dyDescent="0.35">
      <c r="A779">
        <v>8429</v>
      </c>
      <c r="B779" s="3">
        <f>H$6-_xlfn.MAXIFS(Table1[PurchaseDate],Table1[CustomerID],A779)</f>
        <v>52</v>
      </c>
      <c r="C779">
        <f>COUNTIF(Table1[CustomerID],A779)</f>
        <v>1</v>
      </c>
      <c r="D779" s="12">
        <f>SUMIF(Table1[CustomerID],A779,Table1[TransactionAmount])</f>
        <v>518.12</v>
      </c>
      <c r="E779" t="str">
        <f t="shared" si="63"/>
        <v>113</v>
      </c>
      <c r="F779" t="str">
        <f t="shared" si="64"/>
        <v>Needs Attention</v>
      </c>
      <c r="J779">
        <f t="shared" si="65"/>
        <v>1</v>
      </c>
      <c r="K779">
        <f t="shared" si="66"/>
        <v>1</v>
      </c>
      <c r="L779">
        <f t="shared" si="67"/>
        <v>3</v>
      </c>
    </row>
    <row r="780" spans="1:12" x14ac:dyDescent="0.35">
      <c r="A780">
        <v>8432</v>
      </c>
      <c r="B780" s="3">
        <f>H$6-_xlfn.MAXIFS(Table1[PurchaseDate],Table1[CustomerID],A780)</f>
        <v>39</v>
      </c>
      <c r="C780">
        <f>COUNTIF(Table1[CustomerID],A780)</f>
        <v>1</v>
      </c>
      <c r="D780" s="12">
        <f>SUMIF(Table1[CustomerID],A780,Table1[TransactionAmount])</f>
        <v>165.84</v>
      </c>
      <c r="E780" t="str">
        <f t="shared" si="63"/>
        <v>211</v>
      </c>
      <c r="F780" t="str">
        <f t="shared" si="64"/>
        <v>At Risk</v>
      </c>
      <c r="J780">
        <f t="shared" si="65"/>
        <v>2</v>
      </c>
      <c r="K780">
        <f t="shared" si="66"/>
        <v>1</v>
      </c>
      <c r="L780">
        <f t="shared" si="67"/>
        <v>1</v>
      </c>
    </row>
    <row r="781" spans="1:12" x14ac:dyDescent="0.35">
      <c r="A781">
        <v>8449</v>
      </c>
      <c r="B781" s="3">
        <f>H$6-_xlfn.MAXIFS(Table1[PurchaseDate],Table1[CustomerID],A781)</f>
        <v>55</v>
      </c>
      <c r="C781">
        <f>COUNTIF(Table1[CustomerID],A781)</f>
        <v>1</v>
      </c>
      <c r="D781" s="12">
        <f>SUMIF(Table1[CustomerID],A781,Table1[TransactionAmount])</f>
        <v>257.58</v>
      </c>
      <c r="E781" t="str">
        <f t="shared" si="63"/>
        <v>112</v>
      </c>
      <c r="F781" t="str">
        <f t="shared" si="64"/>
        <v>At Risk</v>
      </c>
      <c r="J781">
        <f t="shared" si="65"/>
        <v>1</v>
      </c>
      <c r="K781">
        <f t="shared" si="66"/>
        <v>1</v>
      </c>
      <c r="L781">
        <f t="shared" si="67"/>
        <v>2</v>
      </c>
    </row>
    <row r="782" spans="1:12" x14ac:dyDescent="0.35">
      <c r="A782">
        <v>8450</v>
      </c>
      <c r="B782" s="3">
        <f>H$6-_xlfn.MAXIFS(Table1[PurchaseDate],Table1[CustomerID],A782)</f>
        <v>1</v>
      </c>
      <c r="C782">
        <f>COUNTIF(Table1[CustomerID],A782)</f>
        <v>1</v>
      </c>
      <c r="D782" s="12">
        <f>SUMIF(Table1[CustomerID],A782,Table1[TransactionAmount])</f>
        <v>409.92</v>
      </c>
      <c r="E782" t="str">
        <f t="shared" si="63"/>
        <v>512</v>
      </c>
      <c r="F782" t="str">
        <f t="shared" si="64"/>
        <v>Needs Attention</v>
      </c>
      <c r="J782">
        <f t="shared" si="65"/>
        <v>5</v>
      </c>
      <c r="K782">
        <f t="shared" si="66"/>
        <v>1</v>
      </c>
      <c r="L782">
        <f t="shared" si="67"/>
        <v>2</v>
      </c>
    </row>
    <row r="783" spans="1:12" x14ac:dyDescent="0.35">
      <c r="A783">
        <v>8483</v>
      </c>
      <c r="B783" s="3">
        <f>H$6-_xlfn.MAXIFS(Table1[PurchaseDate],Table1[CustomerID],A783)</f>
        <v>60</v>
      </c>
      <c r="C783">
        <f>COUNTIF(Table1[CustomerID],A783)</f>
        <v>1</v>
      </c>
      <c r="D783" s="12">
        <f>SUMIF(Table1[CustomerID],A783,Table1[TransactionAmount])</f>
        <v>375.23</v>
      </c>
      <c r="E783" t="str">
        <f t="shared" si="63"/>
        <v>112</v>
      </c>
      <c r="F783" t="str">
        <f t="shared" si="64"/>
        <v>At Risk</v>
      </c>
      <c r="J783">
        <f t="shared" si="65"/>
        <v>1</v>
      </c>
      <c r="K783">
        <f t="shared" si="66"/>
        <v>1</v>
      </c>
      <c r="L783">
        <f t="shared" si="67"/>
        <v>2</v>
      </c>
    </row>
    <row r="784" spans="1:12" x14ac:dyDescent="0.35">
      <c r="A784">
        <v>8484</v>
      </c>
      <c r="B784" s="3">
        <f>H$6-_xlfn.MAXIFS(Table1[PurchaseDate],Table1[CustomerID],A784)</f>
        <v>6</v>
      </c>
      <c r="C784">
        <f>COUNTIF(Table1[CustomerID],A784)</f>
        <v>1</v>
      </c>
      <c r="D784" s="12">
        <f>SUMIF(Table1[CustomerID],A784,Table1[TransactionAmount])</f>
        <v>309.10000000000002</v>
      </c>
      <c r="E784" t="str">
        <f t="shared" si="63"/>
        <v>512</v>
      </c>
      <c r="F784" t="str">
        <f t="shared" si="64"/>
        <v>Needs Attention</v>
      </c>
      <c r="J784">
        <f t="shared" si="65"/>
        <v>5</v>
      </c>
      <c r="K784">
        <f t="shared" si="66"/>
        <v>1</v>
      </c>
      <c r="L784">
        <f t="shared" si="67"/>
        <v>2</v>
      </c>
    </row>
    <row r="785" spans="1:12" x14ac:dyDescent="0.35">
      <c r="A785">
        <v>8490</v>
      </c>
      <c r="B785" s="3">
        <f>H$6-_xlfn.MAXIFS(Table1[PurchaseDate],Table1[CustomerID],A785)</f>
        <v>53</v>
      </c>
      <c r="C785">
        <f>COUNTIF(Table1[CustomerID],A785)</f>
        <v>1</v>
      </c>
      <c r="D785" s="12">
        <f>SUMIF(Table1[CustomerID],A785,Table1[TransactionAmount])</f>
        <v>701.26</v>
      </c>
      <c r="E785" t="str">
        <f t="shared" si="63"/>
        <v>114</v>
      </c>
      <c r="F785" t="str">
        <f t="shared" si="64"/>
        <v>Needs Attention</v>
      </c>
      <c r="J785">
        <f t="shared" si="65"/>
        <v>1</v>
      </c>
      <c r="K785">
        <f t="shared" si="66"/>
        <v>1</v>
      </c>
      <c r="L785">
        <f t="shared" si="67"/>
        <v>4</v>
      </c>
    </row>
    <row r="786" spans="1:12" x14ac:dyDescent="0.35">
      <c r="A786">
        <v>8493</v>
      </c>
      <c r="B786" s="3">
        <f>H$6-_xlfn.MAXIFS(Table1[PurchaseDate],Table1[CustomerID],A786)</f>
        <v>18</v>
      </c>
      <c r="C786">
        <f>COUNTIF(Table1[CustomerID],A786)</f>
        <v>1</v>
      </c>
      <c r="D786" s="12">
        <f>SUMIF(Table1[CustomerID],A786,Table1[TransactionAmount])</f>
        <v>593.41999999999996</v>
      </c>
      <c r="E786" t="str">
        <f t="shared" si="63"/>
        <v>413</v>
      </c>
      <c r="F786" t="str">
        <f t="shared" si="64"/>
        <v>Potential Loyalists</v>
      </c>
      <c r="J786">
        <f t="shared" si="65"/>
        <v>4</v>
      </c>
      <c r="K786">
        <f t="shared" si="66"/>
        <v>1</v>
      </c>
      <c r="L786">
        <f t="shared" si="67"/>
        <v>3</v>
      </c>
    </row>
    <row r="787" spans="1:12" x14ac:dyDescent="0.35">
      <c r="A787">
        <v>8504</v>
      </c>
      <c r="B787" s="3">
        <f>H$6-_xlfn.MAXIFS(Table1[PurchaseDate],Table1[CustomerID],A787)</f>
        <v>19</v>
      </c>
      <c r="C787">
        <f>COUNTIF(Table1[CustomerID],A787)</f>
        <v>1</v>
      </c>
      <c r="D787" s="12">
        <f>SUMIF(Table1[CustomerID],A787,Table1[TransactionAmount])</f>
        <v>964.39</v>
      </c>
      <c r="E787" t="str">
        <f t="shared" si="63"/>
        <v>415</v>
      </c>
      <c r="F787" t="str">
        <f t="shared" si="64"/>
        <v>Potential Loyalists</v>
      </c>
      <c r="J787">
        <f t="shared" si="65"/>
        <v>4</v>
      </c>
      <c r="K787">
        <f t="shared" si="66"/>
        <v>1</v>
      </c>
      <c r="L787">
        <f t="shared" si="67"/>
        <v>5</v>
      </c>
    </row>
    <row r="788" spans="1:12" x14ac:dyDescent="0.35">
      <c r="A788">
        <v>8511</v>
      </c>
      <c r="B788" s="3">
        <f>H$6-_xlfn.MAXIFS(Table1[PurchaseDate],Table1[CustomerID],A788)</f>
        <v>13</v>
      </c>
      <c r="C788">
        <f>COUNTIF(Table1[CustomerID],A788)</f>
        <v>1</v>
      </c>
      <c r="D788" s="12">
        <f>SUMIF(Table1[CustomerID],A788,Table1[TransactionAmount])</f>
        <v>94.05</v>
      </c>
      <c r="E788" t="str">
        <f t="shared" si="63"/>
        <v>411</v>
      </c>
      <c r="F788" t="str">
        <f t="shared" si="64"/>
        <v>Needs Attention</v>
      </c>
      <c r="J788">
        <f t="shared" si="65"/>
        <v>4</v>
      </c>
      <c r="K788">
        <f t="shared" si="66"/>
        <v>1</v>
      </c>
      <c r="L788">
        <f t="shared" si="67"/>
        <v>1</v>
      </c>
    </row>
    <row r="789" spans="1:12" x14ac:dyDescent="0.35">
      <c r="A789">
        <v>8517</v>
      </c>
      <c r="B789" s="3">
        <f>H$6-_xlfn.MAXIFS(Table1[PurchaseDate],Table1[CustomerID],A789)</f>
        <v>17</v>
      </c>
      <c r="C789">
        <f>COUNTIF(Table1[CustomerID],A789)</f>
        <v>1</v>
      </c>
      <c r="D789" s="12">
        <f>SUMIF(Table1[CustomerID],A789,Table1[TransactionAmount])</f>
        <v>466.11</v>
      </c>
      <c r="E789" t="str">
        <f t="shared" si="63"/>
        <v>413</v>
      </c>
      <c r="F789" t="str">
        <f t="shared" si="64"/>
        <v>Potential Loyalists</v>
      </c>
      <c r="J789">
        <f t="shared" si="65"/>
        <v>4</v>
      </c>
      <c r="K789">
        <f t="shared" si="66"/>
        <v>1</v>
      </c>
      <c r="L789">
        <f t="shared" si="67"/>
        <v>3</v>
      </c>
    </row>
    <row r="790" spans="1:12" x14ac:dyDescent="0.35">
      <c r="A790">
        <v>8529</v>
      </c>
      <c r="B790" s="3">
        <f>H$6-_xlfn.MAXIFS(Table1[PurchaseDate],Table1[CustomerID],A790)</f>
        <v>59</v>
      </c>
      <c r="C790">
        <f>COUNTIF(Table1[CustomerID],A790)</f>
        <v>1</v>
      </c>
      <c r="D790" s="12">
        <f>SUMIF(Table1[CustomerID],A790,Table1[TransactionAmount])</f>
        <v>132.99</v>
      </c>
      <c r="E790" t="str">
        <f t="shared" si="63"/>
        <v>111</v>
      </c>
      <c r="F790" t="str">
        <f t="shared" si="64"/>
        <v>At Risk</v>
      </c>
      <c r="J790">
        <f t="shared" si="65"/>
        <v>1</v>
      </c>
      <c r="K790">
        <f t="shared" si="66"/>
        <v>1</v>
      </c>
      <c r="L790">
        <f t="shared" si="67"/>
        <v>1</v>
      </c>
    </row>
    <row r="791" spans="1:12" x14ac:dyDescent="0.35">
      <c r="A791">
        <v>8532</v>
      </c>
      <c r="B791" s="3">
        <f>H$6-_xlfn.MAXIFS(Table1[PurchaseDate],Table1[CustomerID],A791)</f>
        <v>2</v>
      </c>
      <c r="C791">
        <f>COUNTIF(Table1[CustomerID],A791)</f>
        <v>1</v>
      </c>
      <c r="D791" s="12">
        <f>SUMIF(Table1[CustomerID],A791,Table1[TransactionAmount])</f>
        <v>87.08</v>
      </c>
      <c r="E791" t="str">
        <f t="shared" si="63"/>
        <v>511</v>
      </c>
      <c r="F791" t="str">
        <f t="shared" si="64"/>
        <v>Needs Attention</v>
      </c>
      <c r="J791">
        <f t="shared" si="65"/>
        <v>5</v>
      </c>
      <c r="K791">
        <f t="shared" si="66"/>
        <v>1</v>
      </c>
      <c r="L791">
        <f t="shared" si="67"/>
        <v>1</v>
      </c>
    </row>
    <row r="792" spans="1:12" x14ac:dyDescent="0.35">
      <c r="A792">
        <v>8542</v>
      </c>
      <c r="B792" s="3">
        <f>H$6-_xlfn.MAXIFS(Table1[PurchaseDate],Table1[CustomerID],A792)</f>
        <v>38</v>
      </c>
      <c r="C792">
        <f>COUNTIF(Table1[CustomerID],A792)</f>
        <v>1</v>
      </c>
      <c r="D792" s="12">
        <f>SUMIF(Table1[CustomerID],A792,Table1[TransactionAmount])</f>
        <v>164.55</v>
      </c>
      <c r="E792" t="str">
        <f t="shared" si="63"/>
        <v>211</v>
      </c>
      <c r="F792" t="str">
        <f t="shared" si="64"/>
        <v>At Risk</v>
      </c>
      <c r="J792">
        <f t="shared" si="65"/>
        <v>2</v>
      </c>
      <c r="K792">
        <f t="shared" si="66"/>
        <v>1</v>
      </c>
      <c r="L792">
        <f t="shared" si="67"/>
        <v>1</v>
      </c>
    </row>
    <row r="793" spans="1:12" x14ac:dyDescent="0.35">
      <c r="A793">
        <v>8552</v>
      </c>
      <c r="B793" s="3">
        <f>H$6-_xlfn.MAXIFS(Table1[PurchaseDate],Table1[CustomerID],A793)</f>
        <v>57</v>
      </c>
      <c r="C793">
        <f>COUNTIF(Table1[CustomerID],A793)</f>
        <v>1</v>
      </c>
      <c r="D793" s="12">
        <f>SUMIF(Table1[CustomerID],A793,Table1[TransactionAmount])</f>
        <v>176.31</v>
      </c>
      <c r="E793" t="str">
        <f t="shared" si="63"/>
        <v>111</v>
      </c>
      <c r="F793" t="str">
        <f t="shared" si="64"/>
        <v>At Risk</v>
      </c>
      <c r="J793">
        <f t="shared" si="65"/>
        <v>1</v>
      </c>
      <c r="K793">
        <f t="shared" si="66"/>
        <v>1</v>
      </c>
      <c r="L793">
        <f t="shared" si="67"/>
        <v>1</v>
      </c>
    </row>
    <row r="794" spans="1:12" x14ac:dyDescent="0.35">
      <c r="A794">
        <v>8575</v>
      </c>
      <c r="B794" s="3">
        <f>H$6-_xlfn.MAXIFS(Table1[PurchaseDate],Table1[CustomerID],A794)</f>
        <v>17</v>
      </c>
      <c r="C794">
        <f>COUNTIF(Table1[CustomerID],A794)</f>
        <v>1</v>
      </c>
      <c r="D794" s="12">
        <f>SUMIF(Table1[CustomerID],A794,Table1[TransactionAmount])</f>
        <v>808.85</v>
      </c>
      <c r="E794" t="str">
        <f t="shared" si="63"/>
        <v>414</v>
      </c>
      <c r="F794" t="str">
        <f t="shared" si="64"/>
        <v>Potential Loyalists</v>
      </c>
      <c r="J794">
        <f t="shared" si="65"/>
        <v>4</v>
      </c>
      <c r="K794">
        <f t="shared" si="66"/>
        <v>1</v>
      </c>
      <c r="L794">
        <f t="shared" si="67"/>
        <v>4</v>
      </c>
    </row>
    <row r="795" spans="1:12" x14ac:dyDescent="0.35">
      <c r="A795">
        <v>8579</v>
      </c>
      <c r="B795" s="3">
        <f>H$6-_xlfn.MAXIFS(Table1[PurchaseDate],Table1[CustomerID],A795)</f>
        <v>45</v>
      </c>
      <c r="C795">
        <f>COUNTIF(Table1[CustomerID],A795)</f>
        <v>1</v>
      </c>
      <c r="D795" s="12">
        <f>SUMIF(Table1[CustomerID],A795,Table1[TransactionAmount])</f>
        <v>875.74</v>
      </c>
      <c r="E795" t="str">
        <f t="shared" si="63"/>
        <v>215</v>
      </c>
      <c r="F795" t="str">
        <f t="shared" si="64"/>
        <v>Needs Attention</v>
      </c>
      <c r="J795">
        <f t="shared" si="65"/>
        <v>2</v>
      </c>
      <c r="K795">
        <f t="shared" si="66"/>
        <v>1</v>
      </c>
      <c r="L795">
        <f t="shared" si="67"/>
        <v>5</v>
      </c>
    </row>
    <row r="796" spans="1:12" x14ac:dyDescent="0.35">
      <c r="A796">
        <v>8595</v>
      </c>
      <c r="B796" s="3">
        <f>H$6-_xlfn.MAXIFS(Table1[PurchaseDate],Table1[CustomerID],A796)</f>
        <v>7</v>
      </c>
      <c r="C796">
        <f>COUNTIF(Table1[CustomerID],A796)</f>
        <v>1</v>
      </c>
      <c r="D796" s="12">
        <f>SUMIF(Table1[CustomerID],A796,Table1[TransactionAmount])</f>
        <v>649.64</v>
      </c>
      <c r="E796" t="str">
        <f t="shared" si="63"/>
        <v>514</v>
      </c>
      <c r="F796" t="str">
        <f t="shared" si="64"/>
        <v>Potential Loyalists</v>
      </c>
      <c r="J796">
        <f t="shared" si="65"/>
        <v>5</v>
      </c>
      <c r="K796">
        <f t="shared" si="66"/>
        <v>1</v>
      </c>
      <c r="L796">
        <f t="shared" si="67"/>
        <v>4</v>
      </c>
    </row>
    <row r="797" spans="1:12" x14ac:dyDescent="0.35">
      <c r="A797">
        <v>8598</v>
      </c>
      <c r="B797" s="3">
        <f>H$6-_xlfn.MAXIFS(Table1[PurchaseDate],Table1[CustomerID],A797)</f>
        <v>6</v>
      </c>
      <c r="C797">
        <f>COUNTIF(Table1[CustomerID],A797)</f>
        <v>1</v>
      </c>
      <c r="D797" s="12">
        <f>SUMIF(Table1[CustomerID],A797,Table1[TransactionAmount])</f>
        <v>126.6</v>
      </c>
      <c r="E797" t="str">
        <f t="shared" si="63"/>
        <v>511</v>
      </c>
      <c r="F797" t="str">
        <f t="shared" si="64"/>
        <v>Needs Attention</v>
      </c>
      <c r="J797">
        <f t="shared" si="65"/>
        <v>5</v>
      </c>
      <c r="K797">
        <f t="shared" si="66"/>
        <v>1</v>
      </c>
      <c r="L797">
        <f t="shared" si="67"/>
        <v>1</v>
      </c>
    </row>
    <row r="798" spans="1:12" x14ac:dyDescent="0.35">
      <c r="A798">
        <v>8609</v>
      </c>
      <c r="B798" s="3">
        <f>H$6-_xlfn.MAXIFS(Table1[PurchaseDate],Table1[CustomerID],A798)</f>
        <v>47</v>
      </c>
      <c r="C798">
        <f>COUNTIF(Table1[CustomerID],A798)</f>
        <v>1</v>
      </c>
      <c r="D798" s="12">
        <f>SUMIF(Table1[CustomerID],A798,Table1[TransactionAmount])</f>
        <v>346.79</v>
      </c>
      <c r="E798" t="str">
        <f t="shared" si="63"/>
        <v>212</v>
      </c>
      <c r="F798" t="str">
        <f t="shared" si="64"/>
        <v>At Risk</v>
      </c>
      <c r="J798">
        <f t="shared" si="65"/>
        <v>2</v>
      </c>
      <c r="K798">
        <f t="shared" si="66"/>
        <v>1</v>
      </c>
      <c r="L798">
        <f t="shared" si="67"/>
        <v>2</v>
      </c>
    </row>
    <row r="799" spans="1:12" x14ac:dyDescent="0.35">
      <c r="A799">
        <v>8612</v>
      </c>
      <c r="B799" s="3">
        <f>H$6-_xlfn.MAXIFS(Table1[PurchaseDate],Table1[CustomerID],A799)</f>
        <v>16</v>
      </c>
      <c r="C799">
        <f>COUNTIF(Table1[CustomerID],A799)</f>
        <v>1</v>
      </c>
      <c r="D799" s="12">
        <f>SUMIF(Table1[CustomerID],A799,Table1[TransactionAmount])</f>
        <v>483.75</v>
      </c>
      <c r="E799" t="str">
        <f t="shared" si="63"/>
        <v>413</v>
      </c>
      <c r="F799" t="str">
        <f t="shared" si="64"/>
        <v>Potential Loyalists</v>
      </c>
      <c r="J799">
        <f t="shared" si="65"/>
        <v>4</v>
      </c>
      <c r="K799">
        <f t="shared" si="66"/>
        <v>1</v>
      </c>
      <c r="L799">
        <f t="shared" si="67"/>
        <v>3</v>
      </c>
    </row>
    <row r="800" spans="1:12" x14ac:dyDescent="0.35">
      <c r="A800">
        <v>8616</v>
      </c>
      <c r="B800" s="3">
        <f>H$6-_xlfn.MAXIFS(Table1[PurchaseDate],Table1[CustomerID],A800)</f>
        <v>33</v>
      </c>
      <c r="C800">
        <f>COUNTIF(Table1[CustomerID],A800)</f>
        <v>1</v>
      </c>
      <c r="D800" s="12">
        <f>SUMIF(Table1[CustomerID],A800,Table1[TransactionAmount])</f>
        <v>827.48</v>
      </c>
      <c r="E800" t="str">
        <f t="shared" si="63"/>
        <v>315</v>
      </c>
      <c r="F800" t="str">
        <f t="shared" si="64"/>
        <v>Potential Loyalists</v>
      </c>
      <c r="J800">
        <f t="shared" si="65"/>
        <v>3</v>
      </c>
      <c r="K800">
        <f t="shared" si="66"/>
        <v>1</v>
      </c>
      <c r="L800">
        <f t="shared" si="67"/>
        <v>5</v>
      </c>
    </row>
    <row r="801" spans="1:12" x14ac:dyDescent="0.35">
      <c r="A801">
        <v>8620</v>
      </c>
      <c r="B801" s="3">
        <f>H$6-_xlfn.MAXIFS(Table1[PurchaseDate],Table1[CustomerID],A801)</f>
        <v>5</v>
      </c>
      <c r="C801">
        <f>COUNTIF(Table1[CustomerID],A801)</f>
        <v>1</v>
      </c>
      <c r="D801" s="12">
        <f>SUMIF(Table1[CustomerID],A801,Table1[TransactionAmount])</f>
        <v>289.48</v>
      </c>
      <c r="E801" t="str">
        <f t="shared" si="63"/>
        <v>512</v>
      </c>
      <c r="F801" t="str">
        <f t="shared" si="64"/>
        <v>Needs Attention</v>
      </c>
      <c r="J801">
        <f t="shared" si="65"/>
        <v>5</v>
      </c>
      <c r="K801">
        <f t="shared" si="66"/>
        <v>1</v>
      </c>
      <c r="L801">
        <f t="shared" si="67"/>
        <v>2</v>
      </c>
    </row>
    <row r="802" spans="1:12" x14ac:dyDescent="0.35">
      <c r="A802">
        <v>8622</v>
      </c>
      <c r="B802" s="3">
        <f>H$6-_xlfn.MAXIFS(Table1[PurchaseDate],Table1[CustomerID],A802)</f>
        <v>3</v>
      </c>
      <c r="C802">
        <f>COUNTIF(Table1[CustomerID],A802)</f>
        <v>1</v>
      </c>
      <c r="D802" s="12">
        <f>SUMIF(Table1[CustomerID],A802,Table1[TransactionAmount])</f>
        <v>294.76</v>
      </c>
      <c r="E802" t="str">
        <f t="shared" si="63"/>
        <v>512</v>
      </c>
      <c r="F802" t="str">
        <f t="shared" si="64"/>
        <v>Needs Attention</v>
      </c>
      <c r="J802">
        <f t="shared" si="65"/>
        <v>5</v>
      </c>
      <c r="K802">
        <f t="shared" si="66"/>
        <v>1</v>
      </c>
      <c r="L802">
        <f t="shared" si="67"/>
        <v>2</v>
      </c>
    </row>
    <row r="803" spans="1:12" x14ac:dyDescent="0.35">
      <c r="A803">
        <v>8625</v>
      </c>
      <c r="B803" s="3">
        <f>H$6-_xlfn.MAXIFS(Table1[PurchaseDate],Table1[CustomerID],A803)</f>
        <v>41</v>
      </c>
      <c r="C803">
        <f>COUNTIF(Table1[CustomerID],A803)</f>
        <v>1</v>
      </c>
      <c r="D803" s="12">
        <f>SUMIF(Table1[CustomerID],A803,Table1[TransactionAmount])</f>
        <v>168.12</v>
      </c>
      <c r="E803" t="str">
        <f t="shared" si="63"/>
        <v>211</v>
      </c>
      <c r="F803" t="str">
        <f t="shared" si="64"/>
        <v>At Risk</v>
      </c>
      <c r="J803">
        <f t="shared" si="65"/>
        <v>2</v>
      </c>
      <c r="K803">
        <f t="shared" si="66"/>
        <v>1</v>
      </c>
      <c r="L803">
        <f t="shared" si="67"/>
        <v>1</v>
      </c>
    </row>
    <row r="804" spans="1:12" x14ac:dyDescent="0.35">
      <c r="A804">
        <v>8640</v>
      </c>
      <c r="B804" s="3">
        <f>H$6-_xlfn.MAXIFS(Table1[PurchaseDate],Table1[CustomerID],A804)</f>
        <v>15</v>
      </c>
      <c r="C804">
        <f>COUNTIF(Table1[CustomerID],A804)</f>
        <v>1</v>
      </c>
      <c r="D804" s="12">
        <f>SUMIF(Table1[CustomerID],A804,Table1[TransactionAmount])</f>
        <v>938.12</v>
      </c>
      <c r="E804" t="str">
        <f t="shared" si="63"/>
        <v>415</v>
      </c>
      <c r="F804" t="str">
        <f t="shared" si="64"/>
        <v>Potential Loyalists</v>
      </c>
      <c r="J804">
        <f t="shared" si="65"/>
        <v>4</v>
      </c>
      <c r="K804">
        <f t="shared" si="66"/>
        <v>1</v>
      </c>
      <c r="L804">
        <f t="shared" si="67"/>
        <v>5</v>
      </c>
    </row>
    <row r="805" spans="1:12" x14ac:dyDescent="0.35">
      <c r="A805">
        <v>8657</v>
      </c>
      <c r="B805" s="3">
        <f>H$6-_xlfn.MAXIFS(Table1[PurchaseDate],Table1[CustomerID],A805)</f>
        <v>9</v>
      </c>
      <c r="C805">
        <f>COUNTIF(Table1[CustomerID],A805)</f>
        <v>1</v>
      </c>
      <c r="D805" s="12">
        <f>SUMIF(Table1[CustomerID],A805,Table1[TransactionAmount])</f>
        <v>983.18</v>
      </c>
      <c r="E805" t="str">
        <f t="shared" si="63"/>
        <v>515</v>
      </c>
      <c r="F805" t="str">
        <f t="shared" si="64"/>
        <v>Potential Loyalists</v>
      </c>
      <c r="J805">
        <f t="shared" si="65"/>
        <v>5</v>
      </c>
      <c r="K805">
        <f t="shared" si="66"/>
        <v>1</v>
      </c>
      <c r="L805">
        <f t="shared" si="67"/>
        <v>5</v>
      </c>
    </row>
    <row r="806" spans="1:12" x14ac:dyDescent="0.35">
      <c r="A806">
        <v>8685</v>
      </c>
      <c r="B806" s="3">
        <f>H$6-_xlfn.MAXIFS(Table1[PurchaseDate],Table1[CustomerID],A806)</f>
        <v>32</v>
      </c>
      <c r="C806">
        <f>COUNTIF(Table1[CustomerID],A806)</f>
        <v>1</v>
      </c>
      <c r="D806" s="12">
        <f>SUMIF(Table1[CustomerID],A806,Table1[TransactionAmount])</f>
        <v>619.19000000000005</v>
      </c>
      <c r="E806" t="str">
        <f t="shared" si="63"/>
        <v>313</v>
      </c>
      <c r="F806" t="str">
        <f t="shared" si="64"/>
        <v>Potential Loyalists</v>
      </c>
      <c r="J806">
        <f t="shared" si="65"/>
        <v>3</v>
      </c>
      <c r="K806">
        <f t="shared" si="66"/>
        <v>1</v>
      </c>
      <c r="L806">
        <f t="shared" si="67"/>
        <v>3</v>
      </c>
    </row>
    <row r="807" spans="1:12" x14ac:dyDescent="0.35">
      <c r="A807">
        <v>8692</v>
      </c>
      <c r="B807" s="3">
        <f>H$6-_xlfn.MAXIFS(Table1[PurchaseDate],Table1[CustomerID],A807)</f>
        <v>12</v>
      </c>
      <c r="C807">
        <f>COUNTIF(Table1[CustomerID],A807)</f>
        <v>1</v>
      </c>
      <c r="D807" s="12">
        <f>SUMIF(Table1[CustomerID],A807,Table1[TransactionAmount])</f>
        <v>841.33</v>
      </c>
      <c r="E807" t="str">
        <f t="shared" si="63"/>
        <v>515</v>
      </c>
      <c r="F807" t="str">
        <f t="shared" si="64"/>
        <v>Potential Loyalists</v>
      </c>
      <c r="J807">
        <f t="shared" si="65"/>
        <v>5</v>
      </c>
      <c r="K807">
        <f t="shared" si="66"/>
        <v>1</v>
      </c>
      <c r="L807">
        <f t="shared" si="67"/>
        <v>5</v>
      </c>
    </row>
    <row r="808" spans="1:12" x14ac:dyDescent="0.35">
      <c r="A808">
        <v>8705</v>
      </c>
      <c r="B808" s="3">
        <f>H$6-_xlfn.MAXIFS(Table1[PurchaseDate],Table1[CustomerID],A808)</f>
        <v>59</v>
      </c>
      <c r="C808">
        <f>COUNTIF(Table1[CustomerID],A808)</f>
        <v>1</v>
      </c>
      <c r="D808" s="12">
        <f>SUMIF(Table1[CustomerID],A808,Table1[TransactionAmount])</f>
        <v>751.53</v>
      </c>
      <c r="E808" t="str">
        <f t="shared" si="63"/>
        <v>114</v>
      </c>
      <c r="F808" t="str">
        <f t="shared" si="64"/>
        <v>Needs Attention</v>
      </c>
      <c r="J808">
        <f t="shared" si="65"/>
        <v>1</v>
      </c>
      <c r="K808">
        <f t="shared" si="66"/>
        <v>1</v>
      </c>
      <c r="L808">
        <f t="shared" si="67"/>
        <v>4</v>
      </c>
    </row>
    <row r="809" spans="1:12" x14ac:dyDescent="0.35">
      <c r="A809">
        <v>8711</v>
      </c>
      <c r="B809" s="3">
        <f>H$6-_xlfn.MAXIFS(Table1[PurchaseDate],Table1[CustomerID],A809)</f>
        <v>46</v>
      </c>
      <c r="C809">
        <f>COUNTIF(Table1[CustomerID],A809)</f>
        <v>1</v>
      </c>
      <c r="D809" s="12">
        <f>SUMIF(Table1[CustomerID],A809,Table1[TransactionAmount])</f>
        <v>207.58</v>
      </c>
      <c r="E809" t="str">
        <f t="shared" si="63"/>
        <v>211</v>
      </c>
      <c r="F809" t="str">
        <f t="shared" si="64"/>
        <v>At Risk</v>
      </c>
      <c r="J809">
        <f t="shared" si="65"/>
        <v>2</v>
      </c>
      <c r="K809">
        <f t="shared" si="66"/>
        <v>1</v>
      </c>
      <c r="L809">
        <f t="shared" si="67"/>
        <v>1</v>
      </c>
    </row>
    <row r="810" spans="1:12" x14ac:dyDescent="0.35">
      <c r="A810">
        <v>8715</v>
      </c>
      <c r="B810" s="3">
        <f>H$6-_xlfn.MAXIFS(Table1[PurchaseDate],Table1[CustomerID],A810)</f>
        <v>29</v>
      </c>
      <c r="C810">
        <f>COUNTIF(Table1[CustomerID],A810)</f>
        <v>1</v>
      </c>
      <c r="D810" s="12">
        <f>SUMIF(Table1[CustomerID],A810,Table1[TransactionAmount])</f>
        <v>895.93</v>
      </c>
      <c r="E810" t="str">
        <f t="shared" si="63"/>
        <v>315</v>
      </c>
      <c r="F810" t="str">
        <f t="shared" si="64"/>
        <v>Potential Loyalists</v>
      </c>
      <c r="J810">
        <f t="shared" si="65"/>
        <v>3</v>
      </c>
      <c r="K810">
        <f t="shared" si="66"/>
        <v>1</v>
      </c>
      <c r="L810">
        <f t="shared" si="67"/>
        <v>5</v>
      </c>
    </row>
    <row r="811" spans="1:12" x14ac:dyDescent="0.35">
      <c r="A811">
        <v>8719</v>
      </c>
      <c r="B811" s="3">
        <f>H$6-_xlfn.MAXIFS(Table1[PurchaseDate],Table1[CustomerID],A811)</f>
        <v>59</v>
      </c>
      <c r="C811">
        <f>COUNTIF(Table1[CustomerID],A811)</f>
        <v>1</v>
      </c>
      <c r="D811" s="12">
        <f>SUMIF(Table1[CustomerID],A811,Table1[TransactionAmount])</f>
        <v>338.56</v>
      </c>
      <c r="E811" t="str">
        <f t="shared" si="63"/>
        <v>112</v>
      </c>
      <c r="F811" t="str">
        <f t="shared" si="64"/>
        <v>At Risk</v>
      </c>
      <c r="J811">
        <f t="shared" si="65"/>
        <v>1</v>
      </c>
      <c r="K811">
        <f t="shared" si="66"/>
        <v>1</v>
      </c>
      <c r="L811">
        <f t="shared" si="67"/>
        <v>2</v>
      </c>
    </row>
    <row r="812" spans="1:12" x14ac:dyDescent="0.35">
      <c r="A812">
        <v>8724</v>
      </c>
      <c r="B812" s="3">
        <f>H$6-_xlfn.MAXIFS(Table1[PurchaseDate],Table1[CustomerID],A812)</f>
        <v>59</v>
      </c>
      <c r="C812">
        <f>COUNTIF(Table1[CustomerID],A812)</f>
        <v>1</v>
      </c>
      <c r="D812" s="12">
        <f>SUMIF(Table1[CustomerID],A812,Table1[TransactionAmount])</f>
        <v>623.35</v>
      </c>
      <c r="E812" t="str">
        <f t="shared" si="63"/>
        <v>113</v>
      </c>
      <c r="F812" t="str">
        <f t="shared" si="64"/>
        <v>Needs Attention</v>
      </c>
      <c r="J812">
        <f t="shared" si="65"/>
        <v>1</v>
      </c>
      <c r="K812">
        <f t="shared" si="66"/>
        <v>1</v>
      </c>
      <c r="L812">
        <f t="shared" si="67"/>
        <v>3</v>
      </c>
    </row>
    <row r="813" spans="1:12" x14ac:dyDescent="0.35">
      <c r="A813">
        <v>8736</v>
      </c>
      <c r="B813" s="3">
        <f>H$6-_xlfn.MAXIFS(Table1[PurchaseDate],Table1[CustomerID],A813)</f>
        <v>4</v>
      </c>
      <c r="C813">
        <f>COUNTIF(Table1[CustomerID],A813)</f>
        <v>1</v>
      </c>
      <c r="D813" s="12">
        <f>SUMIF(Table1[CustomerID],A813,Table1[TransactionAmount])</f>
        <v>202.6</v>
      </c>
      <c r="E813" t="str">
        <f t="shared" si="63"/>
        <v>511</v>
      </c>
      <c r="F813" t="str">
        <f t="shared" si="64"/>
        <v>Needs Attention</v>
      </c>
      <c r="J813">
        <f t="shared" si="65"/>
        <v>5</v>
      </c>
      <c r="K813">
        <f t="shared" si="66"/>
        <v>1</v>
      </c>
      <c r="L813">
        <f t="shared" si="67"/>
        <v>1</v>
      </c>
    </row>
    <row r="814" spans="1:12" x14ac:dyDescent="0.35">
      <c r="A814">
        <v>8758</v>
      </c>
      <c r="B814" s="3">
        <f>H$6-_xlfn.MAXIFS(Table1[PurchaseDate],Table1[CustomerID],A814)</f>
        <v>18</v>
      </c>
      <c r="C814">
        <f>COUNTIF(Table1[CustomerID],A814)</f>
        <v>1</v>
      </c>
      <c r="D814" s="12">
        <f>SUMIF(Table1[CustomerID],A814,Table1[TransactionAmount])</f>
        <v>123.25</v>
      </c>
      <c r="E814" t="str">
        <f t="shared" si="63"/>
        <v>411</v>
      </c>
      <c r="F814" t="str">
        <f t="shared" si="64"/>
        <v>Needs Attention</v>
      </c>
      <c r="J814">
        <f t="shared" si="65"/>
        <v>4</v>
      </c>
      <c r="K814">
        <f t="shared" si="66"/>
        <v>1</v>
      </c>
      <c r="L814">
        <f t="shared" si="67"/>
        <v>1</v>
      </c>
    </row>
    <row r="815" spans="1:12" x14ac:dyDescent="0.35">
      <c r="A815">
        <v>8770</v>
      </c>
      <c r="B815" s="3">
        <f>H$6-_xlfn.MAXIFS(Table1[PurchaseDate],Table1[CustomerID],A815)</f>
        <v>56</v>
      </c>
      <c r="C815">
        <f>COUNTIF(Table1[CustomerID],A815)</f>
        <v>1</v>
      </c>
      <c r="D815" s="12">
        <f>SUMIF(Table1[CustomerID],A815,Table1[TransactionAmount])</f>
        <v>100.31</v>
      </c>
      <c r="E815" t="str">
        <f t="shared" si="63"/>
        <v>111</v>
      </c>
      <c r="F815" t="str">
        <f t="shared" si="64"/>
        <v>At Risk</v>
      </c>
      <c r="J815">
        <f t="shared" si="65"/>
        <v>1</v>
      </c>
      <c r="K815">
        <f t="shared" si="66"/>
        <v>1</v>
      </c>
      <c r="L815">
        <f t="shared" si="67"/>
        <v>1</v>
      </c>
    </row>
    <row r="816" spans="1:12" x14ac:dyDescent="0.35">
      <c r="A816">
        <v>8780</v>
      </c>
      <c r="B816" s="3">
        <f>H$6-_xlfn.MAXIFS(Table1[PurchaseDate],Table1[CustomerID],A816)</f>
        <v>8</v>
      </c>
      <c r="C816">
        <f>COUNTIF(Table1[CustomerID],A816)</f>
        <v>1</v>
      </c>
      <c r="D816" s="12">
        <f>SUMIF(Table1[CustomerID],A816,Table1[TransactionAmount])</f>
        <v>26.47</v>
      </c>
      <c r="E816" t="str">
        <f t="shared" si="63"/>
        <v>511</v>
      </c>
      <c r="F816" t="str">
        <f t="shared" si="64"/>
        <v>Needs Attention</v>
      </c>
      <c r="J816">
        <f t="shared" si="65"/>
        <v>5</v>
      </c>
      <c r="K816">
        <f t="shared" si="66"/>
        <v>1</v>
      </c>
      <c r="L816">
        <f t="shared" si="67"/>
        <v>1</v>
      </c>
    </row>
    <row r="817" spans="1:12" x14ac:dyDescent="0.35">
      <c r="A817">
        <v>8790</v>
      </c>
      <c r="B817" s="3">
        <f>H$6-_xlfn.MAXIFS(Table1[PurchaseDate],Table1[CustomerID],A817)</f>
        <v>43</v>
      </c>
      <c r="C817">
        <f>COUNTIF(Table1[CustomerID],A817)</f>
        <v>1</v>
      </c>
      <c r="D817" s="12">
        <f>SUMIF(Table1[CustomerID],A817,Table1[TransactionAmount])</f>
        <v>56.1</v>
      </c>
      <c r="E817" t="str">
        <f t="shared" si="63"/>
        <v>211</v>
      </c>
      <c r="F817" t="str">
        <f t="shared" si="64"/>
        <v>At Risk</v>
      </c>
      <c r="J817">
        <f t="shared" si="65"/>
        <v>2</v>
      </c>
      <c r="K817">
        <f t="shared" si="66"/>
        <v>1</v>
      </c>
      <c r="L817">
        <f t="shared" si="67"/>
        <v>1</v>
      </c>
    </row>
    <row r="818" spans="1:12" x14ac:dyDescent="0.35">
      <c r="A818">
        <v>8796</v>
      </c>
      <c r="B818" s="3">
        <f>H$6-_xlfn.MAXIFS(Table1[PurchaseDate],Table1[CustomerID],A818)</f>
        <v>24</v>
      </c>
      <c r="C818">
        <f>COUNTIF(Table1[CustomerID],A818)</f>
        <v>1</v>
      </c>
      <c r="D818" s="12">
        <f>SUMIF(Table1[CustomerID],A818,Table1[TransactionAmount])</f>
        <v>747.86</v>
      </c>
      <c r="E818" t="str">
        <f t="shared" si="63"/>
        <v>414</v>
      </c>
      <c r="F818" t="str">
        <f t="shared" si="64"/>
        <v>Potential Loyalists</v>
      </c>
      <c r="J818">
        <f t="shared" si="65"/>
        <v>4</v>
      </c>
      <c r="K818">
        <f t="shared" si="66"/>
        <v>1</v>
      </c>
      <c r="L818">
        <f t="shared" si="67"/>
        <v>4</v>
      </c>
    </row>
    <row r="819" spans="1:12" x14ac:dyDescent="0.35">
      <c r="A819">
        <v>8803</v>
      </c>
      <c r="B819" s="3">
        <f>H$6-_xlfn.MAXIFS(Table1[PurchaseDate],Table1[CustomerID],A819)</f>
        <v>41</v>
      </c>
      <c r="C819">
        <f>COUNTIF(Table1[CustomerID],A819)</f>
        <v>1</v>
      </c>
      <c r="D819" s="12">
        <f>SUMIF(Table1[CustomerID],A819,Table1[TransactionAmount])</f>
        <v>88.17</v>
      </c>
      <c r="E819" t="str">
        <f t="shared" si="63"/>
        <v>211</v>
      </c>
      <c r="F819" t="str">
        <f t="shared" si="64"/>
        <v>At Risk</v>
      </c>
      <c r="J819">
        <f t="shared" si="65"/>
        <v>2</v>
      </c>
      <c r="K819">
        <f t="shared" si="66"/>
        <v>1</v>
      </c>
      <c r="L819">
        <f t="shared" si="67"/>
        <v>1</v>
      </c>
    </row>
    <row r="820" spans="1:12" x14ac:dyDescent="0.35">
      <c r="A820">
        <v>8807</v>
      </c>
      <c r="B820" s="3">
        <f>H$6-_xlfn.MAXIFS(Table1[PurchaseDate],Table1[CustomerID],A820)</f>
        <v>40</v>
      </c>
      <c r="C820">
        <f>COUNTIF(Table1[CustomerID],A820)</f>
        <v>1</v>
      </c>
      <c r="D820" s="12">
        <f>SUMIF(Table1[CustomerID],A820,Table1[TransactionAmount])</f>
        <v>360</v>
      </c>
      <c r="E820" t="str">
        <f t="shared" si="63"/>
        <v>212</v>
      </c>
      <c r="F820" t="str">
        <f t="shared" si="64"/>
        <v>At Risk</v>
      </c>
      <c r="J820">
        <f t="shared" si="65"/>
        <v>2</v>
      </c>
      <c r="K820">
        <f t="shared" si="66"/>
        <v>1</v>
      </c>
      <c r="L820">
        <f t="shared" si="67"/>
        <v>2</v>
      </c>
    </row>
    <row r="821" spans="1:12" x14ac:dyDescent="0.35">
      <c r="A821">
        <v>8814</v>
      </c>
      <c r="B821" s="3">
        <f>H$6-_xlfn.MAXIFS(Table1[PurchaseDate],Table1[CustomerID],A821)</f>
        <v>60</v>
      </c>
      <c r="C821">
        <f>COUNTIF(Table1[CustomerID],A821)</f>
        <v>1</v>
      </c>
      <c r="D821" s="12">
        <f>SUMIF(Table1[CustomerID],A821,Table1[TransactionAmount])</f>
        <v>943.31</v>
      </c>
      <c r="E821" t="str">
        <f t="shared" si="63"/>
        <v>115</v>
      </c>
      <c r="F821" t="str">
        <f t="shared" si="64"/>
        <v>Needs Attention</v>
      </c>
      <c r="J821">
        <f t="shared" si="65"/>
        <v>1</v>
      </c>
      <c r="K821">
        <f t="shared" si="66"/>
        <v>1</v>
      </c>
      <c r="L821">
        <f t="shared" si="67"/>
        <v>5</v>
      </c>
    </row>
    <row r="822" spans="1:12" x14ac:dyDescent="0.35">
      <c r="A822">
        <v>8816</v>
      </c>
      <c r="B822" s="3">
        <f>H$6-_xlfn.MAXIFS(Table1[PurchaseDate],Table1[CustomerID],A822)</f>
        <v>41</v>
      </c>
      <c r="C822">
        <f>COUNTIF(Table1[CustomerID],A822)</f>
        <v>1</v>
      </c>
      <c r="D822" s="12">
        <f>SUMIF(Table1[CustomerID],A822,Table1[TransactionAmount])</f>
        <v>19.04</v>
      </c>
      <c r="E822" t="str">
        <f t="shared" si="63"/>
        <v>211</v>
      </c>
      <c r="F822" t="str">
        <f t="shared" si="64"/>
        <v>At Risk</v>
      </c>
      <c r="J822">
        <f t="shared" si="65"/>
        <v>2</v>
      </c>
      <c r="K822">
        <f t="shared" si="66"/>
        <v>1</v>
      </c>
      <c r="L822">
        <f t="shared" si="67"/>
        <v>1</v>
      </c>
    </row>
    <row r="823" spans="1:12" x14ac:dyDescent="0.35">
      <c r="A823">
        <v>8821</v>
      </c>
      <c r="B823" s="3">
        <f>H$6-_xlfn.MAXIFS(Table1[PurchaseDate],Table1[CustomerID],A823)</f>
        <v>36</v>
      </c>
      <c r="C823">
        <f>COUNTIF(Table1[CustomerID],A823)</f>
        <v>1</v>
      </c>
      <c r="D823" s="12">
        <f>SUMIF(Table1[CustomerID],A823,Table1[TransactionAmount])</f>
        <v>14.62</v>
      </c>
      <c r="E823" t="str">
        <f t="shared" si="63"/>
        <v>311</v>
      </c>
      <c r="F823" t="str">
        <f t="shared" si="64"/>
        <v>Needs Attention</v>
      </c>
      <c r="J823">
        <f t="shared" si="65"/>
        <v>3</v>
      </c>
      <c r="K823">
        <f t="shared" si="66"/>
        <v>1</v>
      </c>
      <c r="L823">
        <f t="shared" si="67"/>
        <v>1</v>
      </c>
    </row>
    <row r="824" spans="1:12" x14ac:dyDescent="0.35">
      <c r="A824">
        <v>8822</v>
      </c>
      <c r="B824" s="3">
        <f>H$6-_xlfn.MAXIFS(Table1[PurchaseDate],Table1[CustomerID],A824)</f>
        <v>40</v>
      </c>
      <c r="C824">
        <f>COUNTIF(Table1[CustomerID],A824)</f>
        <v>1</v>
      </c>
      <c r="D824" s="12">
        <f>SUMIF(Table1[CustomerID],A824,Table1[TransactionAmount])</f>
        <v>936.47</v>
      </c>
      <c r="E824" t="str">
        <f t="shared" si="63"/>
        <v>215</v>
      </c>
      <c r="F824" t="str">
        <f t="shared" si="64"/>
        <v>Needs Attention</v>
      </c>
      <c r="J824">
        <f t="shared" si="65"/>
        <v>2</v>
      </c>
      <c r="K824">
        <f t="shared" si="66"/>
        <v>1</v>
      </c>
      <c r="L824">
        <f t="shared" si="67"/>
        <v>5</v>
      </c>
    </row>
    <row r="825" spans="1:12" x14ac:dyDescent="0.35">
      <c r="A825">
        <v>8836</v>
      </c>
      <c r="B825" s="3">
        <f>H$6-_xlfn.MAXIFS(Table1[PurchaseDate],Table1[CustomerID],A825)</f>
        <v>0</v>
      </c>
      <c r="C825">
        <f>COUNTIF(Table1[CustomerID],A825)</f>
        <v>1</v>
      </c>
      <c r="D825" s="12">
        <f>SUMIF(Table1[CustomerID],A825,Table1[TransactionAmount])</f>
        <v>545.36</v>
      </c>
      <c r="E825" t="str">
        <f t="shared" si="63"/>
        <v>513</v>
      </c>
      <c r="F825" t="str">
        <f t="shared" si="64"/>
        <v>Potential Loyalists</v>
      </c>
      <c r="J825">
        <f t="shared" si="65"/>
        <v>5</v>
      </c>
      <c r="K825">
        <f t="shared" si="66"/>
        <v>1</v>
      </c>
      <c r="L825">
        <f t="shared" si="67"/>
        <v>3</v>
      </c>
    </row>
    <row r="826" spans="1:12" x14ac:dyDescent="0.35">
      <c r="A826">
        <v>8848</v>
      </c>
      <c r="B826" s="3">
        <f>H$6-_xlfn.MAXIFS(Table1[PurchaseDate],Table1[CustomerID],A826)</f>
        <v>47</v>
      </c>
      <c r="C826">
        <f>COUNTIF(Table1[CustomerID],A826)</f>
        <v>1</v>
      </c>
      <c r="D826" s="12">
        <f>SUMIF(Table1[CustomerID],A826,Table1[TransactionAmount])</f>
        <v>594.88</v>
      </c>
      <c r="E826" t="str">
        <f t="shared" si="63"/>
        <v>213</v>
      </c>
      <c r="F826" t="str">
        <f t="shared" si="64"/>
        <v>Needs Attention</v>
      </c>
      <c r="J826">
        <f t="shared" si="65"/>
        <v>2</v>
      </c>
      <c r="K826">
        <f t="shared" si="66"/>
        <v>1</v>
      </c>
      <c r="L826">
        <f t="shared" si="67"/>
        <v>3</v>
      </c>
    </row>
    <row r="827" spans="1:12" x14ac:dyDescent="0.35">
      <c r="A827">
        <v>8859</v>
      </c>
      <c r="B827" s="3">
        <f>H$6-_xlfn.MAXIFS(Table1[PurchaseDate],Table1[CustomerID],A827)</f>
        <v>26</v>
      </c>
      <c r="C827">
        <f>COUNTIF(Table1[CustomerID],A827)</f>
        <v>1</v>
      </c>
      <c r="D827" s="12">
        <f>SUMIF(Table1[CustomerID],A827,Table1[TransactionAmount])</f>
        <v>783.62</v>
      </c>
      <c r="E827" t="str">
        <f t="shared" si="63"/>
        <v>314</v>
      </c>
      <c r="F827" t="str">
        <f t="shared" si="64"/>
        <v>Potential Loyalists</v>
      </c>
      <c r="J827">
        <f t="shared" si="65"/>
        <v>3</v>
      </c>
      <c r="K827">
        <f t="shared" si="66"/>
        <v>1</v>
      </c>
      <c r="L827">
        <f t="shared" si="67"/>
        <v>4</v>
      </c>
    </row>
    <row r="828" spans="1:12" x14ac:dyDescent="0.35">
      <c r="A828">
        <v>8863</v>
      </c>
      <c r="B828" s="3">
        <f>H$6-_xlfn.MAXIFS(Table1[PurchaseDate],Table1[CustomerID],A828)</f>
        <v>31</v>
      </c>
      <c r="C828">
        <f>COUNTIF(Table1[CustomerID],A828)</f>
        <v>1</v>
      </c>
      <c r="D828" s="12">
        <f>SUMIF(Table1[CustomerID],A828,Table1[TransactionAmount])</f>
        <v>450.9</v>
      </c>
      <c r="E828" t="str">
        <f t="shared" si="63"/>
        <v>313</v>
      </c>
      <c r="F828" t="str">
        <f t="shared" si="64"/>
        <v>Potential Loyalists</v>
      </c>
      <c r="J828">
        <f t="shared" si="65"/>
        <v>3</v>
      </c>
      <c r="K828">
        <f t="shared" si="66"/>
        <v>1</v>
      </c>
      <c r="L828">
        <f t="shared" si="67"/>
        <v>3</v>
      </c>
    </row>
    <row r="829" spans="1:12" x14ac:dyDescent="0.35">
      <c r="A829">
        <v>8871</v>
      </c>
      <c r="B829" s="3">
        <f>H$6-_xlfn.MAXIFS(Table1[PurchaseDate],Table1[CustomerID],A829)</f>
        <v>50</v>
      </c>
      <c r="C829">
        <f>COUNTIF(Table1[CustomerID],A829)</f>
        <v>1</v>
      </c>
      <c r="D829" s="12">
        <f>SUMIF(Table1[CustomerID],A829,Table1[TransactionAmount])</f>
        <v>528.99</v>
      </c>
      <c r="E829" t="str">
        <f t="shared" si="63"/>
        <v>113</v>
      </c>
      <c r="F829" t="str">
        <f t="shared" si="64"/>
        <v>Needs Attention</v>
      </c>
      <c r="J829">
        <f t="shared" si="65"/>
        <v>1</v>
      </c>
      <c r="K829">
        <f t="shared" si="66"/>
        <v>1</v>
      </c>
      <c r="L829">
        <f t="shared" si="67"/>
        <v>3</v>
      </c>
    </row>
    <row r="830" spans="1:12" x14ac:dyDescent="0.35">
      <c r="A830">
        <v>8879</v>
      </c>
      <c r="B830" s="3">
        <f>H$6-_xlfn.MAXIFS(Table1[PurchaseDate],Table1[CustomerID],A830)</f>
        <v>25</v>
      </c>
      <c r="C830">
        <f>COUNTIF(Table1[CustomerID],A830)</f>
        <v>1</v>
      </c>
      <c r="D830" s="12">
        <f>SUMIF(Table1[CustomerID],A830,Table1[TransactionAmount])</f>
        <v>206.13</v>
      </c>
      <c r="E830" t="str">
        <f t="shared" si="63"/>
        <v>311</v>
      </c>
      <c r="F830" t="str">
        <f t="shared" si="64"/>
        <v>Needs Attention</v>
      </c>
      <c r="J830">
        <f t="shared" si="65"/>
        <v>3</v>
      </c>
      <c r="K830">
        <f t="shared" si="66"/>
        <v>1</v>
      </c>
      <c r="L830">
        <f t="shared" si="67"/>
        <v>1</v>
      </c>
    </row>
    <row r="831" spans="1:12" x14ac:dyDescent="0.35">
      <c r="A831">
        <v>8895</v>
      </c>
      <c r="B831" s="3">
        <f>H$6-_xlfn.MAXIFS(Table1[PurchaseDate],Table1[CustomerID],A831)</f>
        <v>38</v>
      </c>
      <c r="C831">
        <f>COUNTIF(Table1[CustomerID],A831)</f>
        <v>1</v>
      </c>
      <c r="D831" s="12">
        <f>SUMIF(Table1[CustomerID],A831,Table1[TransactionAmount])</f>
        <v>667.07</v>
      </c>
      <c r="E831" t="str">
        <f t="shared" si="63"/>
        <v>214</v>
      </c>
      <c r="F831" t="str">
        <f t="shared" si="64"/>
        <v>Needs Attention</v>
      </c>
      <c r="J831">
        <f t="shared" si="65"/>
        <v>2</v>
      </c>
      <c r="K831">
        <f t="shared" si="66"/>
        <v>1</v>
      </c>
      <c r="L831">
        <f t="shared" si="67"/>
        <v>4</v>
      </c>
    </row>
    <row r="832" spans="1:12" x14ac:dyDescent="0.35">
      <c r="A832">
        <v>8909</v>
      </c>
      <c r="B832" s="3">
        <f>H$6-_xlfn.MAXIFS(Table1[PurchaseDate],Table1[CustomerID],A832)</f>
        <v>54</v>
      </c>
      <c r="C832">
        <f>COUNTIF(Table1[CustomerID],A832)</f>
        <v>1</v>
      </c>
      <c r="D832" s="12">
        <f>SUMIF(Table1[CustomerID],A832,Table1[TransactionAmount])</f>
        <v>302.48</v>
      </c>
      <c r="E832" t="str">
        <f t="shared" si="63"/>
        <v>112</v>
      </c>
      <c r="F832" t="str">
        <f t="shared" si="64"/>
        <v>At Risk</v>
      </c>
      <c r="J832">
        <f t="shared" si="65"/>
        <v>1</v>
      </c>
      <c r="K832">
        <f t="shared" si="66"/>
        <v>1</v>
      </c>
      <c r="L832">
        <f t="shared" si="67"/>
        <v>2</v>
      </c>
    </row>
    <row r="833" spans="1:12" x14ac:dyDescent="0.35">
      <c r="A833">
        <v>8924</v>
      </c>
      <c r="B833" s="3">
        <f>H$6-_xlfn.MAXIFS(Table1[PurchaseDate],Table1[CustomerID],A833)</f>
        <v>14</v>
      </c>
      <c r="C833">
        <f>COUNTIF(Table1[CustomerID],A833)</f>
        <v>1</v>
      </c>
      <c r="D833" s="12">
        <f>SUMIF(Table1[CustomerID],A833,Table1[TransactionAmount])</f>
        <v>691.77</v>
      </c>
      <c r="E833" t="str">
        <f t="shared" si="63"/>
        <v>414</v>
      </c>
      <c r="F833" t="str">
        <f t="shared" si="64"/>
        <v>Potential Loyalists</v>
      </c>
      <c r="J833">
        <f t="shared" si="65"/>
        <v>4</v>
      </c>
      <c r="K833">
        <f t="shared" si="66"/>
        <v>1</v>
      </c>
      <c r="L833">
        <f t="shared" si="67"/>
        <v>4</v>
      </c>
    </row>
    <row r="834" spans="1:12" x14ac:dyDescent="0.35">
      <c r="A834">
        <v>8925</v>
      </c>
      <c r="B834" s="3">
        <f>H$6-_xlfn.MAXIFS(Table1[PurchaseDate],Table1[CustomerID],A834)</f>
        <v>44</v>
      </c>
      <c r="C834">
        <f>COUNTIF(Table1[CustomerID],A834)</f>
        <v>1</v>
      </c>
      <c r="D834" s="12">
        <f>SUMIF(Table1[CustomerID],A834,Table1[TransactionAmount])</f>
        <v>988.62</v>
      </c>
      <c r="E834" t="str">
        <f t="shared" si="63"/>
        <v>215</v>
      </c>
      <c r="F834" t="str">
        <f t="shared" si="64"/>
        <v>Needs Attention</v>
      </c>
      <c r="J834">
        <f t="shared" si="65"/>
        <v>2</v>
      </c>
      <c r="K834">
        <f t="shared" si="66"/>
        <v>1</v>
      </c>
      <c r="L834">
        <f t="shared" si="67"/>
        <v>5</v>
      </c>
    </row>
    <row r="835" spans="1:12" x14ac:dyDescent="0.35">
      <c r="A835">
        <v>8933</v>
      </c>
      <c r="B835" s="3">
        <f>H$6-_xlfn.MAXIFS(Table1[PurchaseDate],Table1[CustomerID],A835)</f>
        <v>43</v>
      </c>
      <c r="C835">
        <f>COUNTIF(Table1[CustomerID],A835)</f>
        <v>1</v>
      </c>
      <c r="D835" s="12">
        <f>SUMIF(Table1[CustomerID],A835,Table1[TransactionAmount])</f>
        <v>727.34</v>
      </c>
      <c r="E835" t="str">
        <f t="shared" si="63"/>
        <v>214</v>
      </c>
      <c r="F835" t="str">
        <f t="shared" si="64"/>
        <v>Needs Attention</v>
      </c>
      <c r="J835">
        <f t="shared" si="65"/>
        <v>2</v>
      </c>
      <c r="K835">
        <f t="shared" si="66"/>
        <v>1</v>
      </c>
      <c r="L835">
        <f t="shared" si="67"/>
        <v>4</v>
      </c>
    </row>
    <row r="836" spans="1:12" x14ac:dyDescent="0.35">
      <c r="A836">
        <v>8951</v>
      </c>
      <c r="B836" s="3">
        <f>H$6-_xlfn.MAXIFS(Table1[PurchaseDate],Table1[CustomerID],A836)</f>
        <v>10</v>
      </c>
      <c r="C836">
        <f>COUNTIF(Table1[CustomerID],A836)</f>
        <v>1</v>
      </c>
      <c r="D836" s="12">
        <f>SUMIF(Table1[CustomerID],A836,Table1[TransactionAmount])</f>
        <v>350.3</v>
      </c>
      <c r="E836" t="str">
        <f t="shared" ref="E836:E899" si="68">J836&amp;K836&amp;L836</f>
        <v>512</v>
      </c>
      <c r="F836" t="str">
        <f t="shared" ref="F836:F899" si="69">IF(AND(J836&gt;=4,K836&gt;=3,L836&gt;=4),"Champions",IF(AND(J836&gt;=3,K836&gt;=2,L836&gt;=3),"Loyal Customers",IF(AND(J836&gt;=3,L836&gt;=3),"Potential Loyalists",IF(AND(J836&lt;=2,L836&lt;=2),"At Risk","Needs Attention"))))</f>
        <v>Needs Attention</v>
      </c>
      <c r="J836">
        <f t="shared" ref="J836:J899" si="70">ROUNDUP((COUNT($B$3:$B$948)-_xlfn.RANK.EQ(B836,$B$3:$B$948,1)+1)/COUNT($B$3:$B$948)*5,0)</f>
        <v>5</v>
      </c>
      <c r="K836">
        <f t="shared" ref="K836:K899" si="71">IF(C836=1,1,IF(C836=2,3,IF(C836=3,4,5)))</f>
        <v>1</v>
      </c>
      <c r="L836">
        <f t="shared" ref="L836:L899" si="72">IF(D836&gt;=_xlfn.PERCENTILE.INC($D$3:$D$948,0.8),5,IF(D836&gt;=_xlfn.PERCENTILE.INC($D$3:$D$948,0.6),4,IF(D836&gt;=_xlfn.PERCENTILE.INC($D$3:$D$948,0.4),3,IF(D836&gt;=_xlfn.PERCENTILE.INC($D$3:$D$948,0.2),2,1))))</f>
        <v>2</v>
      </c>
    </row>
    <row r="837" spans="1:12" x14ac:dyDescent="0.35">
      <c r="A837">
        <v>8982</v>
      </c>
      <c r="B837" s="3">
        <f>H$6-_xlfn.MAXIFS(Table1[PurchaseDate],Table1[CustomerID],A837)</f>
        <v>19</v>
      </c>
      <c r="C837">
        <f>COUNTIF(Table1[CustomerID],A837)</f>
        <v>1</v>
      </c>
      <c r="D837" s="12">
        <f>SUMIF(Table1[CustomerID],A837,Table1[TransactionAmount])</f>
        <v>324.11</v>
      </c>
      <c r="E837" t="str">
        <f t="shared" si="68"/>
        <v>412</v>
      </c>
      <c r="F837" t="str">
        <f t="shared" si="69"/>
        <v>Needs Attention</v>
      </c>
      <c r="J837">
        <f t="shared" si="70"/>
        <v>4</v>
      </c>
      <c r="K837">
        <f t="shared" si="71"/>
        <v>1</v>
      </c>
      <c r="L837">
        <f t="shared" si="72"/>
        <v>2</v>
      </c>
    </row>
    <row r="838" spans="1:12" x14ac:dyDescent="0.35">
      <c r="A838">
        <v>8993</v>
      </c>
      <c r="B838" s="3">
        <f>H$6-_xlfn.MAXIFS(Table1[PurchaseDate],Table1[CustomerID],A838)</f>
        <v>59</v>
      </c>
      <c r="C838">
        <f>COUNTIF(Table1[CustomerID],A838)</f>
        <v>1</v>
      </c>
      <c r="D838" s="12">
        <f>SUMIF(Table1[CustomerID],A838,Table1[TransactionAmount])</f>
        <v>16.55</v>
      </c>
      <c r="E838" t="str">
        <f t="shared" si="68"/>
        <v>111</v>
      </c>
      <c r="F838" t="str">
        <f t="shared" si="69"/>
        <v>At Risk</v>
      </c>
      <c r="J838">
        <f t="shared" si="70"/>
        <v>1</v>
      </c>
      <c r="K838">
        <f t="shared" si="71"/>
        <v>1</v>
      </c>
      <c r="L838">
        <f t="shared" si="72"/>
        <v>1</v>
      </c>
    </row>
    <row r="839" spans="1:12" x14ac:dyDescent="0.35">
      <c r="A839">
        <v>9004</v>
      </c>
      <c r="B839" s="3">
        <f>H$6-_xlfn.MAXIFS(Table1[PurchaseDate],Table1[CustomerID],A839)</f>
        <v>25</v>
      </c>
      <c r="C839">
        <f>COUNTIF(Table1[CustomerID],A839)</f>
        <v>1</v>
      </c>
      <c r="D839" s="12">
        <f>SUMIF(Table1[CustomerID],A839,Table1[TransactionAmount])</f>
        <v>760.58</v>
      </c>
      <c r="E839" t="str">
        <f t="shared" si="68"/>
        <v>314</v>
      </c>
      <c r="F839" t="str">
        <f t="shared" si="69"/>
        <v>Potential Loyalists</v>
      </c>
      <c r="J839">
        <f t="shared" si="70"/>
        <v>3</v>
      </c>
      <c r="K839">
        <f t="shared" si="71"/>
        <v>1</v>
      </c>
      <c r="L839">
        <f t="shared" si="72"/>
        <v>4</v>
      </c>
    </row>
    <row r="840" spans="1:12" x14ac:dyDescent="0.35">
      <c r="A840">
        <v>9005</v>
      </c>
      <c r="B840" s="3">
        <f>H$6-_xlfn.MAXIFS(Table1[PurchaseDate],Table1[CustomerID],A840)</f>
        <v>59</v>
      </c>
      <c r="C840">
        <f>COUNTIF(Table1[CustomerID],A840)</f>
        <v>1</v>
      </c>
      <c r="D840" s="12">
        <f>SUMIF(Table1[CustomerID],A840,Table1[TransactionAmount])</f>
        <v>120.75</v>
      </c>
      <c r="E840" t="str">
        <f t="shared" si="68"/>
        <v>111</v>
      </c>
      <c r="F840" t="str">
        <f t="shared" si="69"/>
        <v>At Risk</v>
      </c>
      <c r="J840">
        <f t="shared" si="70"/>
        <v>1</v>
      </c>
      <c r="K840">
        <f t="shared" si="71"/>
        <v>1</v>
      </c>
      <c r="L840">
        <f t="shared" si="72"/>
        <v>1</v>
      </c>
    </row>
    <row r="841" spans="1:12" x14ac:dyDescent="0.35">
      <c r="A841">
        <v>9008</v>
      </c>
      <c r="B841" s="3">
        <f>H$6-_xlfn.MAXIFS(Table1[PurchaseDate],Table1[CustomerID],A841)</f>
        <v>55</v>
      </c>
      <c r="C841">
        <f>COUNTIF(Table1[CustomerID],A841)</f>
        <v>1</v>
      </c>
      <c r="D841" s="12">
        <f>SUMIF(Table1[CustomerID],A841,Table1[TransactionAmount])</f>
        <v>899.9</v>
      </c>
      <c r="E841" t="str">
        <f t="shared" si="68"/>
        <v>115</v>
      </c>
      <c r="F841" t="str">
        <f t="shared" si="69"/>
        <v>Needs Attention</v>
      </c>
      <c r="J841">
        <f t="shared" si="70"/>
        <v>1</v>
      </c>
      <c r="K841">
        <f t="shared" si="71"/>
        <v>1</v>
      </c>
      <c r="L841">
        <f t="shared" si="72"/>
        <v>5</v>
      </c>
    </row>
    <row r="842" spans="1:12" x14ac:dyDescent="0.35">
      <c r="A842">
        <v>9022</v>
      </c>
      <c r="B842" s="3">
        <f>H$6-_xlfn.MAXIFS(Table1[PurchaseDate],Table1[CustomerID],A842)</f>
        <v>42</v>
      </c>
      <c r="C842">
        <f>COUNTIF(Table1[CustomerID],A842)</f>
        <v>1</v>
      </c>
      <c r="D842" s="12">
        <f>SUMIF(Table1[CustomerID],A842,Table1[TransactionAmount])</f>
        <v>148.88999999999999</v>
      </c>
      <c r="E842" t="str">
        <f t="shared" si="68"/>
        <v>211</v>
      </c>
      <c r="F842" t="str">
        <f t="shared" si="69"/>
        <v>At Risk</v>
      </c>
      <c r="J842">
        <f t="shared" si="70"/>
        <v>2</v>
      </c>
      <c r="K842">
        <f t="shared" si="71"/>
        <v>1</v>
      </c>
      <c r="L842">
        <f t="shared" si="72"/>
        <v>1</v>
      </c>
    </row>
    <row r="843" spans="1:12" x14ac:dyDescent="0.35">
      <c r="A843">
        <v>9042</v>
      </c>
      <c r="B843" s="3">
        <f>H$6-_xlfn.MAXIFS(Table1[PurchaseDate],Table1[CustomerID],A843)</f>
        <v>54</v>
      </c>
      <c r="C843">
        <f>COUNTIF(Table1[CustomerID],A843)</f>
        <v>1</v>
      </c>
      <c r="D843" s="12">
        <f>SUMIF(Table1[CustomerID],A843,Table1[TransactionAmount])</f>
        <v>873.99</v>
      </c>
      <c r="E843" t="str">
        <f t="shared" si="68"/>
        <v>115</v>
      </c>
      <c r="F843" t="str">
        <f t="shared" si="69"/>
        <v>Needs Attention</v>
      </c>
      <c r="J843">
        <f t="shared" si="70"/>
        <v>1</v>
      </c>
      <c r="K843">
        <f t="shared" si="71"/>
        <v>1</v>
      </c>
      <c r="L843">
        <f t="shared" si="72"/>
        <v>5</v>
      </c>
    </row>
    <row r="844" spans="1:12" x14ac:dyDescent="0.35">
      <c r="A844">
        <v>9044</v>
      </c>
      <c r="B844" s="3">
        <f>H$6-_xlfn.MAXIFS(Table1[PurchaseDate],Table1[CustomerID],A844)</f>
        <v>24</v>
      </c>
      <c r="C844">
        <f>COUNTIF(Table1[CustomerID],A844)</f>
        <v>1</v>
      </c>
      <c r="D844" s="12">
        <f>SUMIF(Table1[CustomerID],A844,Table1[TransactionAmount])</f>
        <v>784.15</v>
      </c>
      <c r="E844" t="str">
        <f t="shared" si="68"/>
        <v>414</v>
      </c>
      <c r="F844" t="str">
        <f t="shared" si="69"/>
        <v>Potential Loyalists</v>
      </c>
      <c r="J844">
        <f t="shared" si="70"/>
        <v>4</v>
      </c>
      <c r="K844">
        <f t="shared" si="71"/>
        <v>1</v>
      </c>
      <c r="L844">
        <f t="shared" si="72"/>
        <v>4</v>
      </c>
    </row>
    <row r="845" spans="1:12" x14ac:dyDescent="0.35">
      <c r="A845">
        <v>9054</v>
      </c>
      <c r="B845" s="3">
        <f>H$6-_xlfn.MAXIFS(Table1[PurchaseDate],Table1[CustomerID],A845)</f>
        <v>6</v>
      </c>
      <c r="C845">
        <f>COUNTIF(Table1[CustomerID],A845)</f>
        <v>1</v>
      </c>
      <c r="D845" s="12">
        <f>SUMIF(Table1[CustomerID],A845,Table1[TransactionAmount])</f>
        <v>699.22</v>
      </c>
      <c r="E845" t="str">
        <f t="shared" si="68"/>
        <v>514</v>
      </c>
      <c r="F845" t="str">
        <f t="shared" si="69"/>
        <v>Potential Loyalists</v>
      </c>
      <c r="J845">
        <f t="shared" si="70"/>
        <v>5</v>
      </c>
      <c r="K845">
        <f t="shared" si="71"/>
        <v>1</v>
      </c>
      <c r="L845">
        <f t="shared" si="72"/>
        <v>4</v>
      </c>
    </row>
    <row r="846" spans="1:12" x14ac:dyDescent="0.35">
      <c r="A846">
        <v>9064</v>
      </c>
      <c r="B846" s="3">
        <f>H$6-_xlfn.MAXIFS(Table1[PurchaseDate],Table1[CustomerID],A846)</f>
        <v>26</v>
      </c>
      <c r="C846">
        <f>COUNTIF(Table1[CustomerID],A846)</f>
        <v>1</v>
      </c>
      <c r="D846" s="12">
        <f>SUMIF(Table1[CustomerID],A846,Table1[TransactionAmount])</f>
        <v>315.95999999999998</v>
      </c>
      <c r="E846" t="str">
        <f t="shared" si="68"/>
        <v>312</v>
      </c>
      <c r="F846" t="str">
        <f t="shared" si="69"/>
        <v>Needs Attention</v>
      </c>
      <c r="J846">
        <f t="shared" si="70"/>
        <v>3</v>
      </c>
      <c r="K846">
        <f t="shared" si="71"/>
        <v>1</v>
      </c>
      <c r="L846">
        <f t="shared" si="72"/>
        <v>2</v>
      </c>
    </row>
    <row r="847" spans="1:12" x14ac:dyDescent="0.35">
      <c r="A847">
        <v>9066</v>
      </c>
      <c r="B847" s="3">
        <f>H$6-_xlfn.MAXIFS(Table1[PurchaseDate],Table1[CustomerID],A847)</f>
        <v>3</v>
      </c>
      <c r="C847">
        <f>COUNTIF(Table1[CustomerID],A847)</f>
        <v>1</v>
      </c>
      <c r="D847" s="12">
        <f>SUMIF(Table1[CustomerID],A847,Table1[TransactionAmount])</f>
        <v>985.51</v>
      </c>
      <c r="E847" t="str">
        <f t="shared" si="68"/>
        <v>515</v>
      </c>
      <c r="F847" t="str">
        <f t="shared" si="69"/>
        <v>Potential Loyalists</v>
      </c>
      <c r="J847">
        <f t="shared" si="70"/>
        <v>5</v>
      </c>
      <c r="K847">
        <f t="shared" si="71"/>
        <v>1</v>
      </c>
      <c r="L847">
        <f t="shared" si="72"/>
        <v>5</v>
      </c>
    </row>
    <row r="848" spans="1:12" x14ac:dyDescent="0.35">
      <c r="A848">
        <v>9084</v>
      </c>
      <c r="B848" s="3">
        <f>H$6-_xlfn.MAXIFS(Table1[PurchaseDate],Table1[CustomerID],A848)</f>
        <v>45</v>
      </c>
      <c r="C848">
        <f>COUNTIF(Table1[CustomerID],A848)</f>
        <v>1</v>
      </c>
      <c r="D848" s="12">
        <f>SUMIF(Table1[CustomerID],A848,Table1[TransactionAmount])</f>
        <v>224.71</v>
      </c>
      <c r="E848" t="str">
        <f t="shared" si="68"/>
        <v>212</v>
      </c>
      <c r="F848" t="str">
        <f t="shared" si="69"/>
        <v>At Risk</v>
      </c>
      <c r="J848">
        <f t="shared" si="70"/>
        <v>2</v>
      </c>
      <c r="K848">
        <f t="shared" si="71"/>
        <v>1</v>
      </c>
      <c r="L848">
        <f t="shared" si="72"/>
        <v>2</v>
      </c>
    </row>
    <row r="849" spans="1:12" x14ac:dyDescent="0.35">
      <c r="A849">
        <v>9105</v>
      </c>
      <c r="B849" s="3">
        <f>H$6-_xlfn.MAXIFS(Table1[PurchaseDate],Table1[CustomerID],A849)</f>
        <v>43</v>
      </c>
      <c r="C849">
        <f>COUNTIF(Table1[CustomerID],A849)</f>
        <v>1</v>
      </c>
      <c r="D849" s="12">
        <f>SUMIF(Table1[CustomerID],A849,Table1[TransactionAmount])</f>
        <v>329.64</v>
      </c>
      <c r="E849" t="str">
        <f t="shared" si="68"/>
        <v>212</v>
      </c>
      <c r="F849" t="str">
        <f t="shared" si="69"/>
        <v>At Risk</v>
      </c>
      <c r="J849">
        <f t="shared" si="70"/>
        <v>2</v>
      </c>
      <c r="K849">
        <f t="shared" si="71"/>
        <v>1</v>
      </c>
      <c r="L849">
        <f t="shared" si="72"/>
        <v>2</v>
      </c>
    </row>
    <row r="850" spans="1:12" x14ac:dyDescent="0.35">
      <c r="A850">
        <v>9108</v>
      </c>
      <c r="B850" s="3">
        <f>H$6-_xlfn.MAXIFS(Table1[PurchaseDate],Table1[CustomerID],A850)</f>
        <v>22</v>
      </c>
      <c r="C850">
        <f>COUNTIF(Table1[CustomerID],A850)</f>
        <v>1</v>
      </c>
      <c r="D850" s="12">
        <f>SUMIF(Table1[CustomerID],A850,Table1[TransactionAmount])</f>
        <v>883.52</v>
      </c>
      <c r="E850" t="str">
        <f t="shared" si="68"/>
        <v>415</v>
      </c>
      <c r="F850" t="str">
        <f t="shared" si="69"/>
        <v>Potential Loyalists</v>
      </c>
      <c r="J850">
        <f t="shared" si="70"/>
        <v>4</v>
      </c>
      <c r="K850">
        <f t="shared" si="71"/>
        <v>1</v>
      </c>
      <c r="L850">
        <f t="shared" si="72"/>
        <v>5</v>
      </c>
    </row>
    <row r="851" spans="1:12" x14ac:dyDescent="0.35">
      <c r="A851">
        <v>9115</v>
      </c>
      <c r="B851" s="3">
        <f>H$6-_xlfn.MAXIFS(Table1[PurchaseDate],Table1[CustomerID],A851)</f>
        <v>58</v>
      </c>
      <c r="C851">
        <f>COUNTIF(Table1[CustomerID],A851)</f>
        <v>1</v>
      </c>
      <c r="D851" s="12">
        <f>SUMIF(Table1[CustomerID],A851,Table1[TransactionAmount])</f>
        <v>134.97999999999999</v>
      </c>
      <c r="E851" t="str">
        <f t="shared" si="68"/>
        <v>111</v>
      </c>
      <c r="F851" t="str">
        <f t="shared" si="69"/>
        <v>At Risk</v>
      </c>
      <c r="J851">
        <f t="shared" si="70"/>
        <v>1</v>
      </c>
      <c r="K851">
        <f t="shared" si="71"/>
        <v>1</v>
      </c>
      <c r="L851">
        <f t="shared" si="72"/>
        <v>1</v>
      </c>
    </row>
    <row r="852" spans="1:12" x14ac:dyDescent="0.35">
      <c r="A852">
        <v>9120</v>
      </c>
      <c r="B852" s="3">
        <f>H$6-_xlfn.MAXIFS(Table1[PurchaseDate],Table1[CustomerID],A852)</f>
        <v>57</v>
      </c>
      <c r="C852">
        <f>COUNTIF(Table1[CustomerID],A852)</f>
        <v>1</v>
      </c>
      <c r="D852" s="12">
        <f>SUMIF(Table1[CustomerID],A852,Table1[TransactionAmount])</f>
        <v>972.57</v>
      </c>
      <c r="E852" t="str">
        <f t="shared" si="68"/>
        <v>115</v>
      </c>
      <c r="F852" t="str">
        <f t="shared" si="69"/>
        <v>Needs Attention</v>
      </c>
      <c r="J852">
        <f t="shared" si="70"/>
        <v>1</v>
      </c>
      <c r="K852">
        <f t="shared" si="71"/>
        <v>1</v>
      </c>
      <c r="L852">
        <f t="shared" si="72"/>
        <v>5</v>
      </c>
    </row>
    <row r="853" spans="1:12" x14ac:dyDescent="0.35">
      <c r="A853">
        <v>9128</v>
      </c>
      <c r="B853" s="3">
        <f>H$6-_xlfn.MAXIFS(Table1[PurchaseDate],Table1[CustomerID],A853)</f>
        <v>59</v>
      </c>
      <c r="C853">
        <f>COUNTIF(Table1[CustomerID],A853)</f>
        <v>1</v>
      </c>
      <c r="D853" s="12">
        <f>SUMIF(Table1[CustomerID],A853,Table1[TransactionAmount])</f>
        <v>388.9</v>
      </c>
      <c r="E853" t="str">
        <f t="shared" si="68"/>
        <v>112</v>
      </c>
      <c r="F853" t="str">
        <f t="shared" si="69"/>
        <v>At Risk</v>
      </c>
      <c r="J853">
        <f t="shared" si="70"/>
        <v>1</v>
      </c>
      <c r="K853">
        <f t="shared" si="71"/>
        <v>1</v>
      </c>
      <c r="L853">
        <f t="shared" si="72"/>
        <v>2</v>
      </c>
    </row>
    <row r="854" spans="1:12" x14ac:dyDescent="0.35">
      <c r="A854">
        <v>9129</v>
      </c>
      <c r="B854" s="3">
        <f>H$6-_xlfn.MAXIFS(Table1[PurchaseDate],Table1[CustomerID],A854)</f>
        <v>51</v>
      </c>
      <c r="C854">
        <f>COUNTIF(Table1[CustomerID],A854)</f>
        <v>1</v>
      </c>
      <c r="D854" s="12">
        <f>SUMIF(Table1[CustomerID],A854,Table1[TransactionAmount])</f>
        <v>337.86</v>
      </c>
      <c r="E854" t="str">
        <f t="shared" si="68"/>
        <v>112</v>
      </c>
      <c r="F854" t="str">
        <f t="shared" si="69"/>
        <v>At Risk</v>
      </c>
      <c r="J854">
        <f t="shared" si="70"/>
        <v>1</v>
      </c>
      <c r="K854">
        <f t="shared" si="71"/>
        <v>1</v>
      </c>
      <c r="L854">
        <f t="shared" si="72"/>
        <v>2</v>
      </c>
    </row>
    <row r="855" spans="1:12" x14ac:dyDescent="0.35">
      <c r="A855">
        <v>9148</v>
      </c>
      <c r="B855" s="3">
        <f>H$6-_xlfn.MAXIFS(Table1[PurchaseDate],Table1[CustomerID],A855)</f>
        <v>59</v>
      </c>
      <c r="C855">
        <f>COUNTIF(Table1[CustomerID],A855)</f>
        <v>1</v>
      </c>
      <c r="D855" s="12">
        <f>SUMIF(Table1[CustomerID],A855,Table1[TransactionAmount])</f>
        <v>99.15</v>
      </c>
      <c r="E855" t="str">
        <f t="shared" si="68"/>
        <v>111</v>
      </c>
      <c r="F855" t="str">
        <f t="shared" si="69"/>
        <v>At Risk</v>
      </c>
      <c r="J855">
        <f t="shared" si="70"/>
        <v>1</v>
      </c>
      <c r="K855">
        <f t="shared" si="71"/>
        <v>1</v>
      </c>
      <c r="L855">
        <f t="shared" si="72"/>
        <v>1</v>
      </c>
    </row>
    <row r="856" spans="1:12" x14ac:dyDescent="0.35">
      <c r="A856">
        <v>9173</v>
      </c>
      <c r="B856" s="3">
        <f>H$6-_xlfn.MAXIFS(Table1[PurchaseDate],Table1[CustomerID],A856)</f>
        <v>34</v>
      </c>
      <c r="C856">
        <f>COUNTIF(Table1[CustomerID],A856)</f>
        <v>1</v>
      </c>
      <c r="D856" s="12">
        <f>SUMIF(Table1[CustomerID],A856,Table1[TransactionAmount])</f>
        <v>883.95</v>
      </c>
      <c r="E856" t="str">
        <f t="shared" si="68"/>
        <v>315</v>
      </c>
      <c r="F856" t="str">
        <f t="shared" si="69"/>
        <v>Potential Loyalists</v>
      </c>
      <c r="J856">
        <f t="shared" si="70"/>
        <v>3</v>
      </c>
      <c r="K856">
        <f t="shared" si="71"/>
        <v>1</v>
      </c>
      <c r="L856">
        <f t="shared" si="72"/>
        <v>5</v>
      </c>
    </row>
    <row r="857" spans="1:12" x14ac:dyDescent="0.35">
      <c r="A857">
        <v>9175</v>
      </c>
      <c r="B857" s="3">
        <f>H$6-_xlfn.MAXIFS(Table1[PurchaseDate],Table1[CustomerID],A857)</f>
        <v>13</v>
      </c>
      <c r="C857">
        <f>COUNTIF(Table1[CustomerID],A857)</f>
        <v>1</v>
      </c>
      <c r="D857" s="12">
        <f>SUMIF(Table1[CustomerID],A857,Table1[TransactionAmount])</f>
        <v>207.67</v>
      </c>
      <c r="E857" t="str">
        <f t="shared" si="68"/>
        <v>411</v>
      </c>
      <c r="F857" t="str">
        <f t="shared" si="69"/>
        <v>Needs Attention</v>
      </c>
      <c r="J857">
        <f t="shared" si="70"/>
        <v>4</v>
      </c>
      <c r="K857">
        <f t="shared" si="71"/>
        <v>1</v>
      </c>
      <c r="L857">
        <f t="shared" si="72"/>
        <v>1</v>
      </c>
    </row>
    <row r="858" spans="1:12" x14ac:dyDescent="0.35">
      <c r="A858">
        <v>9210</v>
      </c>
      <c r="B858" s="3">
        <f>H$6-_xlfn.MAXIFS(Table1[PurchaseDate],Table1[CustomerID],A858)</f>
        <v>28</v>
      </c>
      <c r="C858">
        <f>COUNTIF(Table1[CustomerID],A858)</f>
        <v>1</v>
      </c>
      <c r="D858" s="12">
        <f>SUMIF(Table1[CustomerID],A858,Table1[TransactionAmount])</f>
        <v>99.65</v>
      </c>
      <c r="E858" t="str">
        <f t="shared" si="68"/>
        <v>311</v>
      </c>
      <c r="F858" t="str">
        <f t="shared" si="69"/>
        <v>Needs Attention</v>
      </c>
      <c r="J858">
        <f t="shared" si="70"/>
        <v>3</v>
      </c>
      <c r="K858">
        <f t="shared" si="71"/>
        <v>1</v>
      </c>
      <c r="L858">
        <f t="shared" si="72"/>
        <v>1</v>
      </c>
    </row>
    <row r="859" spans="1:12" x14ac:dyDescent="0.35">
      <c r="A859">
        <v>9266</v>
      </c>
      <c r="B859" s="3">
        <f>H$6-_xlfn.MAXIFS(Table1[PurchaseDate],Table1[CustomerID],A859)</f>
        <v>19</v>
      </c>
      <c r="C859">
        <f>COUNTIF(Table1[CustomerID],A859)</f>
        <v>1</v>
      </c>
      <c r="D859" s="12">
        <f>SUMIF(Table1[CustomerID],A859,Table1[TransactionAmount])</f>
        <v>180.83</v>
      </c>
      <c r="E859" t="str">
        <f t="shared" si="68"/>
        <v>411</v>
      </c>
      <c r="F859" t="str">
        <f t="shared" si="69"/>
        <v>Needs Attention</v>
      </c>
      <c r="J859">
        <f t="shared" si="70"/>
        <v>4</v>
      </c>
      <c r="K859">
        <f t="shared" si="71"/>
        <v>1</v>
      </c>
      <c r="L859">
        <f t="shared" si="72"/>
        <v>1</v>
      </c>
    </row>
    <row r="860" spans="1:12" x14ac:dyDescent="0.35">
      <c r="A860">
        <v>9267</v>
      </c>
      <c r="B860" s="3">
        <f>H$6-_xlfn.MAXIFS(Table1[PurchaseDate],Table1[CustomerID],A860)</f>
        <v>50</v>
      </c>
      <c r="C860">
        <f>COUNTIF(Table1[CustomerID],A860)</f>
        <v>1</v>
      </c>
      <c r="D860" s="12">
        <f>SUMIF(Table1[CustomerID],A860,Table1[TransactionAmount])</f>
        <v>131.93</v>
      </c>
      <c r="E860" t="str">
        <f t="shared" si="68"/>
        <v>111</v>
      </c>
      <c r="F860" t="str">
        <f t="shared" si="69"/>
        <v>At Risk</v>
      </c>
      <c r="J860">
        <f t="shared" si="70"/>
        <v>1</v>
      </c>
      <c r="K860">
        <f t="shared" si="71"/>
        <v>1</v>
      </c>
      <c r="L860">
        <f t="shared" si="72"/>
        <v>1</v>
      </c>
    </row>
    <row r="861" spans="1:12" x14ac:dyDescent="0.35">
      <c r="A861">
        <v>9268</v>
      </c>
      <c r="B861" s="3">
        <f>H$6-_xlfn.MAXIFS(Table1[PurchaseDate],Table1[CustomerID],A861)</f>
        <v>39</v>
      </c>
      <c r="C861">
        <f>COUNTIF(Table1[CustomerID],A861)</f>
        <v>1</v>
      </c>
      <c r="D861" s="12">
        <f>SUMIF(Table1[CustomerID],A861,Table1[TransactionAmount])</f>
        <v>660.96</v>
      </c>
      <c r="E861" t="str">
        <f t="shared" si="68"/>
        <v>214</v>
      </c>
      <c r="F861" t="str">
        <f t="shared" si="69"/>
        <v>Needs Attention</v>
      </c>
      <c r="J861">
        <f t="shared" si="70"/>
        <v>2</v>
      </c>
      <c r="K861">
        <f t="shared" si="71"/>
        <v>1</v>
      </c>
      <c r="L861">
        <f t="shared" si="72"/>
        <v>4</v>
      </c>
    </row>
    <row r="862" spans="1:12" x14ac:dyDescent="0.35">
      <c r="A862">
        <v>9276</v>
      </c>
      <c r="B862" s="3">
        <f>H$6-_xlfn.MAXIFS(Table1[PurchaseDate],Table1[CustomerID],A862)</f>
        <v>50</v>
      </c>
      <c r="C862">
        <f>COUNTIF(Table1[CustomerID],A862)</f>
        <v>1</v>
      </c>
      <c r="D862" s="12">
        <f>SUMIF(Table1[CustomerID],A862,Table1[TransactionAmount])</f>
        <v>421.77</v>
      </c>
      <c r="E862" t="str">
        <f t="shared" si="68"/>
        <v>112</v>
      </c>
      <c r="F862" t="str">
        <f t="shared" si="69"/>
        <v>At Risk</v>
      </c>
      <c r="J862">
        <f t="shared" si="70"/>
        <v>1</v>
      </c>
      <c r="K862">
        <f t="shared" si="71"/>
        <v>1</v>
      </c>
      <c r="L862">
        <f t="shared" si="72"/>
        <v>2</v>
      </c>
    </row>
    <row r="863" spans="1:12" x14ac:dyDescent="0.35">
      <c r="A863">
        <v>9288</v>
      </c>
      <c r="B863" s="3">
        <f>H$6-_xlfn.MAXIFS(Table1[PurchaseDate],Table1[CustomerID],A863)</f>
        <v>44</v>
      </c>
      <c r="C863">
        <f>COUNTIF(Table1[CustomerID],A863)</f>
        <v>1</v>
      </c>
      <c r="D863" s="12">
        <f>SUMIF(Table1[CustomerID],A863,Table1[TransactionAmount])</f>
        <v>141.13</v>
      </c>
      <c r="E863" t="str">
        <f t="shared" si="68"/>
        <v>211</v>
      </c>
      <c r="F863" t="str">
        <f t="shared" si="69"/>
        <v>At Risk</v>
      </c>
      <c r="J863">
        <f t="shared" si="70"/>
        <v>2</v>
      </c>
      <c r="K863">
        <f t="shared" si="71"/>
        <v>1</v>
      </c>
      <c r="L863">
        <f t="shared" si="72"/>
        <v>1</v>
      </c>
    </row>
    <row r="864" spans="1:12" x14ac:dyDescent="0.35">
      <c r="A864">
        <v>9289</v>
      </c>
      <c r="B864" s="3">
        <f>H$6-_xlfn.MAXIFS(Table1[PurchaseDate],Table1[CustomerID],A864)</f>
        <v>36</v>
      </c>
      <c r="C864">
        <f>COUNTIF(Table1[CustomerID],A864)</f>
        <v>1</v>
      </c>
      <c r="D864" s="12">
        <f>SUMIF(Table1[CustomerID],A864,Table1[TransactionAmount])</f>
        <v>736.32</v>
      </c>
      <c r="E864" t="str">
        <f t="shared" si="68"/>
        <v>314</v>
      </c>
      <c r="F864" t="str">
        <f t="shared" si="69"/>
        <v>Potential Loyalists</v>
      </c>
      <c r="J864">
        <f t="shared" si="70"/>
        <v>3</v>
      </c>
      <c r="K864">
        <f t="shared" si="71"/>
        <v>1</v>
      </c>
      <c r="L864">
        <f t="shared" si="72"/>
        <v>4</v>
      </c>
    </row>
    <row r="865" spans="1:12" x14ac:dyDescent="0.35">
      <c r="A865">
        <v>9307</v>
      </c>
      <c r="B865" s="3">
        <f>H$6-_xlfn.MAXIFS(Table1[PurchaseDate],Table1[CustomerID],A865)</f>
        <v>36</v>
      </c>
      <c r="C865">
        <f>COUNTIF(Table1[CustomerID],A865)</f>
        <v>1</v>
      </c>
      <c r="D865" s="12">
        <f>SUMIF(Table1[CustomerID],A865,Table1[TransactionAmount])</f>
        <v>468.08</v>
      </c>
      <c r="E865" t="str">
        <f t="shared" si="68"/>
        <v>313</v>
      </c>
      <c r="F865" t="str">
        <f t="shared" si="69"/>
        <v>Potential Loyalists</v>
      </c>
      <c r="J865">
        <f t="shared" si="70"/>
        <v>3</v>
      </c>
      <c r="K865">
        <f t="shared" si="71"/>
        <v>1</v>
      </c>
      <c r="L865">
        <f t="shared" si="72"/>
        <v>3</v>
      </c>
    </row>
    <row r="866" spans="1:12" x14ac:dyDescent="0.35">
      <c r="A866">
        <v>9311</v>
      </c>
      <c r="B866" s="3">
        <f>H$6-_xlfn.MAXIFS(Table1[PurchaseDate],Table1[CustomerID],A866)</f>
        <v>7</v>
      </c>
      <c r="C866">
        <f>COUNTIF(Table1[CustomerID],A866)</f>
        <v>1</v>
      </c>
      <c r="D866" s="12">
        <f>SUMIF(Table1[CustomerID],A866,Table1[TransactionAmount])</f>
        <v>514.62</v>
      </c>
      <c r="E866" t="str">
        <f t="shared" si="68"/>
        <v>513</v>
      </c>
      <c r="F866" t="str">
        <f t="shared" si="69"/>
        <v>Potential Loyalists</v>
      </c>
      <c r="J866">
        <f t="shared" si="70"/>
        <v>5</v>
      </c>
      <c r="K866">
        <f t="shared" si="71"/>
        <v>1</v>
      </c>
      <c r="L866">
        <f t="shared" si="72"/>
        <v>3</v>
      </c>
    </row>
    <row r="867" spans="1:12" x14ac:dyDescent="0.35">
      <c r="A867">
        <v>9317</v>
      </c>
      <c r="B867" s="3">
        <f>H$6-_xlfn.MAXIFS(Table1[PurchaseDate],Table1[CustomerID],A867)</f>
        <v>2</v>
      </c>
      <c r="C867">
        <f>COUNTIF(Table1[CustomerID],A867)</f>
        <v>1</v>
      </c>
      <c r="D867" s="12">
        <f>SUMIF(Table1[CustomerID],A867,Table1[TransactionAmount])</f>
        <v>115.35</v>
      </c>
      <c r="E867" t="str">
        <f t="shared" si="68"/>
        <v>511</v>
      </c>
      <c r="F867" t="str">
        <f t="shared" si="69"/>
        <v>Needs Attention</v>
      </c>
      <c r="J867">
        <f t="shared" si="70"/>
        <v>5</v>
      </c>
      <c r="K867">
        <f t="shared" si="71"/>
        <v>1</v>
      </c>
      <c r="L867">
        <f t="shared" si="72"/>
        <v>1</v>
      </c>
    </row>
    <row r="868" spans="1:12" x14ac:dyDescent="0.35">
      <c r="A868">
        <v>9328</v>
      </c>
      <c r="B868" s="3">
        <f>H$6-_xlfn.MAXIFS(Table1[PurchaseDate],Table1[CustomerID],A868)</f>
        <v>11</v>
      </c>
      <c r="C868">
        <f>COUNTIF(Table1[CustomerID],A868)</f>
        <v>2</v>
      </c>
      <c r="D868" s="12">
        <f>SUMIF(Table1[CustomerID],A868,Table1[TransactionAmount])</f>
        <v>1710.17</v>
      </c>
      <c r="E868" t="str">
        <f t="shared" si="68"/>
        <v>535</v>
      </c>
      <c r="F868" t="str">
        <f t="shared" si="69"/>
        <v>Champions</v>
      </c>
      <c r="J868">
        <f t="shared" si="70"/>
        <v>5</v>
      </c>
      <c r="K868">
        <f t="shared" si="71"/>
        <v>3</v>
      </c>
      <c r="L868">
        <f t="shared" si="72"/>
        <v>5</v>
      </c>
    </row>
    <row r="869" spans="1:12" x14ac:dyDescent="0.35">
      <c r="A869">
        <v>9331</v>
      </c>
      <c r="B869" s="3">
        <f>H$6-_xlfn.MAXIFS(Table1[PurchaseDate],Table1[CustomerID],A869)</f>
        <v>15</v>
      </c>
      <c r="C869">
        <f>COUNTIF(Table1[CustomerID],A869)</f>
        <v>2</v>
      </c>
      <c r="D869" s="12">
        <f>SUMIF(Table1[CustomerID],A869,Table1[TransactionAmount])</f>
        <v>136.66</v>
      </c>
      <c r="E869" t="str">
        <f t="shared" si="68"/>
        <v>431</v>
      </c>
      <c r="F869" t="str">
        <f t="shared" si="69"/>
        <v>Needs Attention</v>
      </c>
      <c r="J869">
        <f t="shared" si="70"/>
        <v>4</v>
      </c>
      <c r="K869">
        <f t="shared" si="71"/>
        <v>3</v>
      </c>
      <c r="L869">
        <f t="shared" si="72"/>
        <v>1</v>
      </c>
    </row>
    <row r="870" spans="1:12" x14ac:dyDescent="0.35">
      <c r="A870">
        <v>9363</v>
      </c>
      <c r="B870" s="3">
        <f>H$6-_xlfn.MAXIFS(Table1[PurchaseDate],Table1[CustomerID],A870)</f>
        <v>29</v>
      </c>
      <c r="C870">
        <f>COUNTIF(Table1[CustomerID],A870)</f>
        <v>1</v>
      </c>
      <c r="D870" s="12">
        <f>SUMIF(Table1[CustomerID],A870,Table1[TransactionAmount])</f>
        <v>777</v>
      </c>
      <c r="E870" t="str">
        <f t="shared" si="68"/>
        <v>314</v>
      </c>
      <c r="F870" t="str">
        <f t="shared" si="69"/>
        <v>Potential Loyalists</v>
      </c>
      <c r="J870">
        <f t="shared" si="70"/>
        <v>3</v>
      </c>
      <c r="K870">
        <f t="shared" si="71"/>
        <v>1</v>
      </c>
      <c r="L870">
        <f t="shared" si="72"/>
        <v>4</v>
      </c>
    </row>
    <row r="871" spans="1:12" x14ac:dyDescent="0.35">
      <c r="A871">
        <v>9368</v>
      </c>
      <c r="B871" s="3">
        <f>H$6-_xlfn.MAXIFS(Table1[PurchaseDate],Table1[CustomerID],A871)</f>
        <v>37</v>
      </c>
      <c r="C871">
        <f>COUNTIF(Table1[CustomerID],A871)</f>
        <v>1</v>
      </c>
      <c r="D871" s="12">
        <f>SUMIF(Table1[CustomerID],A871,Table1[TransactionAmount])</f>
        <v>64.88</v>
      </c>
      <c r="E871" t="str">
        <f t="shared" si="68"/>
        <v>311</v>
      </c>
      <c r="F871" t="str">
        <f t="shared" si="69"/>
        <v>Needs Attention</v>
      </c>
      <c r="J871">
        <f t="shared" si="70"/>
        <v>3</v>
      </c>
      <c r="K871">
        <f t="shared" si="71"/>
        <v>1</v>
      </c>
      <c r="L871">
        <f t="shared" si="72"/>
        <v>1</v>
      </c>
    </row>
    <row r="872" spans="1:12" x14ac:dyDescent="0.35">
      <c r="A872">
        <v>9369</v>
      </c>
      <c r="B872" s="3">
        <f>H$6-_xlfn.MAXIFS(Table1[PurchaseDate],Table1[CustomerID],A872)</f>
        <v>53</v>
      </c>
      <c r="C872">
        <f>COUNTIF(Table1[CustomerID],A872)</f>
        <v>1</v>
      </c>
      <c r="D872" s="12">
        <f>SUMIF(Table1[CustomerID],A872,Table1[TransactionAmount])</f>
        <v>576.99</v>
      </c>
      <c r="E872" t="str">
        <f t="shared" si="68"/>
        <v>113</v>
      </c>
      <c r="F872" t="str">
        <f t="shared" si="69"/>
        <v>Needs Attention</v>
      </c>
      <c r="J872">
        <f t="shared" si="70"/>
        <v>1</v>
      </c>
      <c r="K872">
        <f t="shared" si="71"/>
        <v>1</v>
      </c>
      <c r="L872">
        <f t="shared" si="72"/>
        <v>3</v>
      </c>
    </row>
    <row r="873" spans="1:12" x14ac:dyDescent="0.35">
      <c r="A873">
        <v>9374</v>
      </c>
      <c r="B873" s="3">
        <f>H$6-_xlfn.MAXIFS(Table1[PurchaseDate],Table1[CustomerID],A873)</f>
        <v>43</v>
      </c>
      <c r="C873">
        <f>COUNTIF(Table1[CustomerID],A873)</f>
        <v>1</v>
      </c>
      <c r="D873" s="12">
        <f>SUMIF(Table1[CustomerID],A873,Table1[TransactionAmount])</f>
        <v>403.9</v>
      </c>
      <c r="E873" t="str">
        <f t="shared" si="68"/>
        <v>212</v>
      </c>
      <c r="F873" t="str">
        <f t="shared" si="69"/>
        <v>At Risk</v>
      </c>
      <c r="J873">
        <f t="shared" si="70"/>
        <v>2</v>
      </c>
      <c r="K873">
        <f t="shared" si="71"/>
        <v>1</v>
      </c>
      <c r="L873">
        <f t="shared" si="72"/>
        <v>2</v>
      </c>
    </row>
    <row r="874" spans="1:12" x14ac:dyDescent="0.35">
      <c r="A874">
        <v>9376</v>
      </c>
      <c r="B874" s="3">
        <f>H$6-_xlfn.MAXIFS(Table1[PurchaseDate],Table1[CustomerID],A874)</f>
        <v>25</v>
      </c>
      <c r="C874">
        <f>COUNTIF(Table1[CustomerID],A874)</f>
        <v>1</v>
      </c>
      <c r="D874" s="12">
        <f>SUMIF(Table1[CustomerID],A874,Table1[TransactionAmount])</f>
        <v>574.96</v>
      </c>
      <c r="E874" t="str">
        <f t="shared" si="68"/>
        <v>313</v>
      </c>
      <c r="F874" t="str">
        <f t="shared" si="69"/>
        <v>Potential Loyalists</v>
      </c>
      <c r="J874">
        <f t="shared" si="70"/>
        <v>3</v>
      </c>
      <c r="K874">
        <f t="shared" si="71"/>
        <v>1</v>
      </c>
      <c r="L874">
        <f t="shared" si="72"/>
        <v>3</v>
      </c>
    </row>
    <row r="875" spans="1:12" x14ac:dyDescent="0.35">
      <c r="A875">
        <v>9383</v>
      </c>
      <c r="B875" s="3">
        <f>H$6-_xlfn.MAXIFS(Table1[PurchaseDate],Table1[CustomerID],A875)</f>
        <v>21</v>
      </c>
      <c r="C875">
        <f>COUNTIF(Table1[CustomerID],A875)</f>
        <v>1</v>
      </c>
      <c r="D875" s="12">
        <f>SUMIF(Table1[CustomerID],A875,Table1[TransactionAmount])</f>
        <v>950.26</v>
      </c>
      <c r="E875" t="str">
        <f t="shared" si="68"/>
        <v>415</v>
      </c>
      <c r="F875" t="str">
        <f t="shared" si="69"/>
        <v>Potential Loyalists</v>
      </c>
      <c r="J875">
        <f t="shared" si="70"/>
        <v>4</v>
      </c>
      <c r="K875">
        <f t="shared" si="71"/>
        <v>1</v>
      </c>
      <c r="L875">
        <f t="shared" si="72"/>
        <v>5</v>
      </c>
    </row>
    <row r="876" spans="1:12" x14ac:dyDescent="0.35">
      <c r="A876">
        <v>9393</v>
      </c>
      <c r="B876" s="3">
        <f>H$6-_xlfn.MAXIFS(Table1[PurchaseDate],Table1[CustomerID],A876)</f>
        <v>41</v>
      </c>
      <c r="C876">
        <f>COUNTIF(Table1[CustomerID],A876)</f>
        <v>1</v>
      </c>
      <c r="D876" s="12">
        <f>SUMIF(Table1[CustomerID],A876,Table1[TransactionAmount])</f>
        <v>844.64</v>
      </c>
      <c r="E876" t="str">
        <f t="shared" si="68"/>
        <v>215</v>
      </c>
      <c r="F876" t="str">
        <f t="shared" si="69"/>
        <v>Needs Attention</v>
      </c>
      <c r="J876">
        <f t="shared" si="70"/>
        <v>2</v>
      </c>
      <c r="K876">
        <f t="shared" si="71"/>
        <v>1</v>
      </c>
      <c r="L876">
        <f t="shared" si="72"/>
        <v>5</v>
      </c>
    </row>
    <row r="877" spans="1:12" x14ac:dyDescent="0.35">
      <c r="A877">
        <v>9409</v>
      </c>
      <c r="B877" s="3">
        <f>H$6-_xlfn.MAXIFS(Table1[PurchaseDate],Table1[CustomerID],A877)</f>
        <v>59</v>
      </c>
      <c r="C877">
        <f>COUNTIF(Table1[CustomerID],A877)</f>
        <v>1</v>
      </c>
      <c r="D877" s="12">
        <f>SUMIF(Table1[CustomerID],A877,Table1[TransactionAmount])</f>
        <v>865.98</v>
      </c>
      <c r="E877" t="str">
        <f t="shared" si="68"/>
        <v>115</v>
      </c>
      <c r="F877" t="str">
        <f t="shared" si="69"/>
        <v>Needs Attention</v>
      </c>
      <c r="J877">
        <f t="shared" si="70"/>
        <v>1</v>
      </c>
      <c r="K877">
        <f t="shared" si="71"/>
        <v>1</v>
      </c>
      <c r="L877">
        <f t="shared" si="72"/>
        <v>5</v>
      </c>
    </row>
    <row r="878" spans="1:12" x14ac:dyDescent="0.35">
      <c r="A878">
        <v>9418</v>
      </c>
      <c r="B878" s="3">
        <f>H$6-_xlfn.MAXIFS(Table1[PurchaseDate],Table1[CustomerID],A878)</f>
        <v>53</v>
      </c>
      <c r="C878">
        <f>COUNTIF(Table1[CustomerID],A878)</f>
        <v>1</v>
      </c>
      <c r="D878" s="12">
        <f>SUMIF(Table1[CustomerID],A878,Table1[TransactionAmount])</f>
        <v>383.43</v>
      </c>
      <c r="E878" t="str">
        <f t="shared" si="68"/>
        <v>112</v>
      </c>
      <c r="F878" t="str">
        <f t="shared" si="69"/>
        <v>At Risk</v>
      </c>
      <c r="J878">
        <f t="shared" si="70"/>
        <v>1</v>
      </c>
      <c r="K878">
        <f t="shared" si="71"/>
        <v>1</v>
      </c>
      <c r="L878">
        <f t="shared" si="72"/>
        <v>2</v>
      </c>
    </row>
    <row r="879" spans="1:12" x14ac:dyDescent="0.35">
      <c r="A879">
        <v>9426</v>
      </c>
      <c r="B879" s="3">
        <f>H$6-_xlfn.MAXIFS(Table1[PurchaseDate],Table1[CustomerID],A879)</f>
        <v>9</v>
      </c>
      <c r="C879">
        <f>COUNTIF(Table1[CustomerID],A879)</f>
        <v>1</v>
      </c>
      <c r="D879" s="12">
        <f>SUMIF(Table1[CustomerID],A879,Table1[TransactionAmount])</f>
        <v>513.65</v>
      </c>
      <c r="E879" t="str">
        <f t="shared" si="68"/>
        <v>513</v>
      </c>
      <c r="F879" t="str">
        <f t="shared" si="69"/>
        <v>Potential Loyalists</v>
      </c>
      <c r="J879">
        <f t="shared" si="70"/>
        <v>5</v>
      </c>
      <c r="K879">
        <f t="shared" si="71"/>
        <v>1</v>
      </c>
      <c r="L879">
        <f t="shared" si="72"/>
        <v>3</v>
      </c>
    </row>
    <row r="880" spans="1:12" x14ac:dyDescent="0.35">
      <c r="A880">
        <v>9442</v>
      </c>
      <c r="B880" s="3">
        <f>H$6-_xlfn.MAXIFS(Table1[PurchaseDate],Table1[CustomerID],A880)</f>
        <v>40</v>
      </c>
      <c r="C880">
        <f>COUNTIF(Table1[CustomerID],A880)</f>
        <v>1</v>
      </c>
      <c r="D880" s="12">
        <f>SUMIF(Table1[CustomerID],A880,Table1[TransactionAmount])</f>
        <v>95.87</v>
      </c>
      <c r="E880" t="str">
        <f t="shared" si="68"/>
        <v>211</v>
      </c>
      <c r="F880" t="str">
        <f t="shared" si="69"/>
        <v>At Risk</v>
      </c>
      <c r="J880">
        <f t="shared" si="70"/>
        <v>2</v>
      </c>
      <c r="K880">
        <f t="shared" si="71"/>
        <v>1</v>
      </c>
      <c r="L880">
        <f t="shared" si="72"/>
        <v>1</v>
      </c>
    </row>
    <row r="881" spans="1:12" x14ac:dyDescent="0.35">
      <c r="A881">
        <v>9443</v>
      </c>
      <c r="B881" s="3">
        <f>H$6-_xlfn.MAXIFS(Table1[PurchaseDate],Table1[CustomerID],A881)</f>
        <v>24</v>
      </c>
      <c r="C881">
        <f>COUNTIF(Table1[CustomerID],A881)</f>
        <v>1</v>
      </c>
      <c r="D881" s="12">
        <f>SUMIF(Table1[CustomerID],A881,Table1[TransactionAmount])</f>
        <v>249.52</v>
      </c>
      <c r="E881" t="str">
        <f t="shared" si="68"/>
        <v>412</v>
      </c>
      <c r="F881" t="str">
        <f t="shared" si="69"/>
        <v>Needs Attention</v>
      </c>
      <c r="J881">
        <f t="shared" si="70"/>
        <v>4</v>
      </c>
      <c r="K881">
        <f t="shared" si="71"/>
        <v>1</v>
      </c>
      <c r="L881">
        <f t="shared" si="72"/>
        <v>2</v>
      </c>
    </row>
    <row r="882" spans="1:12" x14ac:dyDescent="0.35">
      <c r="A882">
        <v>9444</v>
      </c>
      <c r="B882" s="3">
        <f>H$6-_xlfn.MAXIFS(Table1[PurchaseDate],Table1[CustomerID],A882)</f>
        <v>35</v>
      </c>
      <c r="C882">
        <f>COUNTIF(Table1[CustomerID],A882)</f>
        <v>1</v>
      </c>
      <c r="D882" s="12">
        <f>SUMIF(Table1[CustomerID],A882,Table1[TransactionAmount])</f>
        <v>989.23</v>
      </c>
      <c r="E882" t="str">
        <f t="shared" si="68"/>
        <v>315</v>
      </c>
      <c r="F882" t="str">
        <f t="shared" si="69"/>
        <v>Potential Loyalists</v>
      </c>
      <c r="J882">
        <f t="shared" si="70"/>
        <v>3</v>
      </c>
      <c r="K882">
        <f t="shared" si="71"/>
        <v>1</v>
      </c>
      <c r="L882">
        <f t="shared" si="72"/>
        <v>5</v>
      </c>
    </row>
    <row r="883" spans="1:12" x14ac:dyDescent="0.35">
      <c r="A883">
        <v>9452</v>
      </c>
      <c r="B883" s="3">
        <f>H$6-_xlfn.MAXIFS(Table1[PurchaseDate],Table1[CustomerID],A883)</f>
        <v>6</v>
      </c>
      <c r="C883">
        <f>COUNTIF(Table1[CustomerID],A883)</f>
        <v>1</v>
      </c>
      <c r="D883" s="12">
        <f>SUMIF(Table1[CustomerID],A883,Table1[TransactionAmount])</f>
        <v>133.43</v>
      </c>
      <c r="E883" t="str">
        <f t="shared" si="68"/>
        <v>511</v>
      </c>
      <c r="F883" t="str">
        <f t="shared" si="69"/>
        <v>Needs Attention</v>
      </c>
      <c r="J883">
        <f t="shared" si="70"/>
        <v>5</v>
      </c>
      <c r="K883">
        <f t="shared" si="71"/>
        <v>1</v>
      </c>
      <c r="L883">
        <f t="shared" si="72"/>
        <v>1</v>
      </c>
    </row>
    <row r="884" spans="1:12" x14ac:dyDescent="0.35">
      <c r="A884">
        <v>9462</v>
      </c>
      <c r="B884" s="3">
        <f>H$6-_xlfn.MAXIFS(Table1[PurchaseDate],Table1[CustomerID],A884)</f>
        <v>5</v>
      </c>
      <c r="C884">
        <f>COUNTIF(Table1[CustomerID],A884)</f>
        <v>1</v>
      </c>
      <c r="D884" s="12">
        <f>SUMIF(Table1[CustomerID],A884,Table1[TransactionAmount])</f>
        <v>380.17</v>
      </c>
      <c r="E884" t="str">
        <f t="shared" si="68"/>
        <v>512</v>
      </c>
      <c r="F884" t="str">
        <f t="shared" si="69"/>
        <v>Needs Attention</v>
      </c>
      <c r="J884">
        <f t="shared" si="70"/>
        <v>5</v>
      </c>
      <c r="K884">
        <f t="shared" si="71"/>
        <v>1</v>
      </c>
      <c r="L884">
        <f t="shared" si="72"/>
        <v>2</v>
      </c>
    </row>
    <row r="885" spans="1:12" x14ac:dyDescent="0.35">
      <c r="A885">
        <v>9465</v>
      </c>
      <c r="B885" s="3">
        <f>H$6-_xlfn.MAXIFS(Table1[PurchaseDate],Table1[CustomerID],A885)</f>
        <v>44</v>
      </c>
      <c r="C885">
        <f>COUNTIF(Table1[CustomerID],A885)</f>
        <v>1</v>
      </c>
      <c r="D885" s="12">
        <f>SUMIF(Table1[CustomerID],A885,Table1[TransactionAmount])</f>
        <v>382.57</v>
      </c>
      <c r="E885" t="str">
        <f t="shared" si="68"/>
        <v>212</v>
      </c>
      <c r="F885" t="str">
        <f t="shared" si="69"/>
        <v>At Risk</v>
      </c>
      <c r="J885">
        <f t="shared" si="70"/>
        <v>2</v>
      </c>
      <c r="K885">
        <f t="shared" si="71"/>
        <v>1</v>
      </c>
      <c r="L885">
        <f t="shared" si="72"/>
        <v>2</v>
      </c>
    </row>
    <row r="886" spans="1:12" x14ac:dyDescent="0.35">
      <c r="A886">
        <v>9475</v>
      </c>
      <c r="B886" s="3">
        <f>H$6-_xlfn.MAXIFS(Table1[PurchaseDate],Table1[CustomerID],A886)</f>
        <v>12</v>
      </c>
      <c r="C886">
        <f>COUNTIF(Table1[CustomerID],A886)</f>
        <v>1</v>
      </c>
      <c r="D886" s="12">
        <f>SUMIF(Table1[CustomerID],A886,Table1[TransactionAmount])</f>
        <v>247.9</v>
      </c>
      <c r="E886" t="str">
        <f t="shared" si="68"/>
        <v>512</v>
      </c>
      <c r="F886" t="str">
        <f t="shared" si="69"/>
        <v>Needs Attention</v>
      </c>
      <c r="J886">
        <f t="shared" si="70"/>
        <v>5</v>
      </c>
      <c r="K886">
        <f t="shared" si="71"/>
        <v>1</v>
      </c>
      <c r="L886">
        <f t="shared" si="72"/>
        <v>2</v>
      </c>
    </row>
    <row r="887" spans="1:12" x14ac:dyDescent="0.35">
      <c r="A887">
        <v>9482</v>
      </c>
      <c r="B887" s="3">
        <f>H$6-_xlfn.MAXIFS(Table1[PurchaseDate],Table1[CustomerID],A887)</f>
        <v>60</v>
      </c>
      <c r="C887">
        <f>COUNTIF(Table1[CustomerID],A887)</f>
        <v>1</v>
      </c>
      <c r="D887" s="12">
        <f>SUMIF(Table1[CustomerID],A887,Table1[TransactionAmount])</f>
        <v>739.56</v>
      </c>
      <c r="E887" t="str">
        <f t="shared" si="68"/>
        <v>114</v>
      </c>
      <c r="F887" t="str">
        <f t="shared" si="69"/>
        <v>Needs Attention</v>
      </c>
      <c r="J887">
        <f t="shared" si="70"/>
        <v>1</v>
      </c>
      <c r="K887">
        <f t="shared" si="71"/>
        <v>1</v>
      </c>
      <c r="L887">
        <f t="shared" si="72"/>
        <v>4</v>
      </c>
    </row>
    <row r="888" spans="1:12" x14ac:dyDescent="0.35">
      <c r="A888">
        <v>9488</v>
      </c>
      <c r="B888" s="3">
        <f>H$6-_xlfn.MAXIFS(Table1[PurchaseDate],Table1[CustomerID],A888)</f>
        <v>51</v>
      </c>
      <c r="C888">
        <f>COUNTIF(Table1[CustomerID],A888)</f>
        <v>1</v>
      </c>
      <c r="D888" s="12">
        <f>SUMIF(Table1[CustomerID],A888,Table1[TransactionAmount])</f>
        <v>311.08</v>
      </c>
      <c r="E888" t="str">
        <f t="shared" si="68"/>
        <v>112</v>
      </c>
      <c r="F888" t="str">
        <f t="shared" si="69"/>
        <v>At Risk</v>
      </c>
      <c r="J888">
        <f t="shared" si="70"/>
        <v>1</v>
      </c>
      <c r="K888">
        <f t="shared" si="71"/>
        <v>1</v>
      </c>
      <c r="L888">
        <f t="shared" si="72"/>
        <v>2</v>
      </c>
    </row>
    <row r="889" spans="1:12" x14ac:dyDescent="0.35">
      <c r="A889">
        <v>9508</v>
      </c>
      <c r="B889" s="3">
        <f>H$6-_xlfn.MAXIFS(Table1[PurchaseDate],Table1[CustomerID],A889)</f>
        <v>31</v>
      </c>
      <c r="C889">
        <f>COUNTIF(Table1[CustomerID],A889)</f>
        <v>1</v>
      </c>
      <c r="D889" s="12">
        <f>SUMIF(Table1[CustomerID],A889,Table1[TransactionAmount])</f>
        <v>157.44999999999999</v>
      </c>
      <c r="E889" t="str">
        <f t="shared" si="68"/>
        <v>311</v>
      </c>
      <c r="F889" t="str">
        <f t="shared" si="69"/>
        <v>Needs Attention</v>
      </c>
      <c r="J889">
        <f t="shared" si="70"/>
        <v>3</v>
      </c>
      <c r="K889">
        <f t="shared" si="71"/>
        <v>1</v>
      </c>
      <c r="L889">
        <f t="shared" si="72"/>
        <v>1</v>
      </c>
    </row>
    <row r="890" spans="1:12" x14ac:dyDescent="0.35">
      <c r="A890">
        <v>9510</v>
      </c>
      <c r="B890" s="3">
        <f>H$6-_xlfn.MAXIFS(Table1[PurchaseDate],Table1[CustomerID],A890)</f>
        <v>17</v>
      </c>
      <c r="C890">
        <f>COUNTIF(Table1[CustomerID],A890)</f>
        <v>1</v>
      </c>
      <c r="D890" s="12">
        <f>SUMIF(Table1[CustomerID],A890,Table1[TransactionAmount])</f>
        <v>450.62</v>
      </c>
      <c r="E890" t="str">
        <f t="shared" si="68"/>
        <v>413</v>
      </c>
      <c r="F890" t="str">
        <f t="shared" si="69"/>
        <v>Potential Loyalists</v>
      </c>
      <c r="J890">
        <f t="shared" si="70"/>
        <v>4</v>
      </c>
      <c r="K890">
        <f t="shared" si="71"/>
        <v>1</v>
      </c>
      <c r="L890">
        <f t="shared" si="72"/>
        <v>3</v>
      </c>
    </row>
    <row r="891" spans="1:12" x14ac:dyDescent="0.35">
      <c r="A891">
        <v>9514</v>
      </c>
      <c r="B891" s="3">
        <f>H$6-_xlfn.MAXIFS(Table1[PurchaseDate],Table1[CustomerID],A891)</f>
        <v>14</v>
      </c>
      <c r="C891">
        <f>COUNTIF(Table1[CustomerID],A891)</f>
        <v>2</v>
      </c>
      <c r="D891" s="12">
        <f>SUMIF(Table1[CustomerID],A891,Table1[TransactionAmount])</f>
        <v>1553.53</v>
      </c>
      <c r="E891" t="str">
        <f t="shared" si="68"/>
        <v>435</v>
      </c>
      <c r="F891" t="str">
        <f t="shared" si="69"/>
        <v>Champions</v>
      </c>
      <c r="J891">
        <f t="shared" si="70"/>
        <v>4</v>
      </c>
      <c r="K891">
        <f t="shared" si="71"/>
        <v>3</v>
      </c>
      <c r="L891">
        <f t="shared" si="72"/>
        <v>5</v>
      </c>
    </row>
    <row r="892" spans="1:12" x14ac:dyDescent="0.35">
      <c r="A892">
        <v>9535</v>
      </c>
      <c r="B892" s="3">
        <f>H$6-_xlfn.MAXIFS(Table1[PurchaseDate],Table1[CustomerID],A892)</f>
        <v>32</v>
      </c>
      <c r="C892">
        <f>COUNTIF(Table1[CustomerID],A892)</f>
        <v>1</v>
      </c>
      <c r="D892" s="12">
        <f>SUMIF(Table1[CustomerID],A892,Table1[TransactionAmount])</f>
        <v>419.85</v>
      </c>
      <c r="E892" t="str">
        <f t="shared" si="68"/>
        <v>312</v>
      </c>
      <c r="F892" t="str">
        <f t="shared" si="69"/>
        <v>Needs Attention</v>
      </c>
      <c r="J892">
        <f t="shared" si="70"/>
        <v>3</v>
      </c>
      <c r="K892">
        <f t="shared" si="71"/>
        <v>1</v>
      </c>
      <c r="L892">
        <f t="shared" si="72"/>
        <v>2</v>
      </c>
    </row>
    <row r="893" spans="1:12" x14ac:dyDescent="0.35">
      <c r="A893">
        <v>9537</v>
      </c>
      <c r="B893" s="3">
        <f>H$6-_xlfn.MAXIFS(Table1[PurchaseDate],Table1[CustomerID],A893)</f>
        <v>50</v>
      </c>
      <c r="C893">
        <f>COUNTIF(Table1[CustomerID],A893)</f>
        <v>1</v>
      </c>
      <c r="D893" s="12">
        <f>SUMIF(Table1[CustomerID],A893,Table1[TransactionAmount])</f>
        <v>688.46</v>
      </c>
      <c r="E893" t="str">
        <f t="shared" si="68"/>
        <v>114</v>
      </c>
      <c r="F893" t="str">
        <f t="shared" si="69"/>
        <v>Needs Attention</v>
      </c>
      <c r="J893">
        <f t="shared" si="70"/>
        <v>1</v>
      </c>
      <c r="K893">
        <f t="shared" si="71"/>
        <v>1</v>
      </c>
      <c r="L893">
        <f t="shared" si="72"/>
        <v>4</v>
      </c>
    </row>
    <row r="894" spans="1:12" x14ac:dyDescent="0.35">
      <c r="A894">
        <v>9538</v>
      </c>
      <c r="B894" s="3">
        <f>H$6-_xlfn.MAXIFS(Table1[PurchaseDate],Table1[CustomerID],A894)</f>
        <v>18</v>
      </c>
      <c r="C894">
        <f>COUNTIF(Table1[CustomerID],A894)</f>
        <v>1</v>
      </c>
      <c r="D894" s="12">
        <f>SUMIF(Table1[CustomerID],A894,Table1[TransactionAmount])</f>
        <v>982.29</v>
      </c>
      <c r="E894" t="str">
        <f t="shared" si="68"/>
        <v>415</v>
      </c>
      <c r="F894" t="str">
        <f t="shared" si="69"/>
        <v>Potential Loyalists</v>
      </c>
      <c r="J894">
        <f t="shared" si="70"/>
        <v>4</v>
      </c>
      <c r="K894">
        <f t="shared" si="71"/>
        <v>1</v>
      </c>
      <c r="L894">
        <f t="shared" si="72"/>
        <v>5</v>
      </c>
    </row>
    <row r="895" spans="1:12" x14ac:dyDescent="0.35">
      <c r="A895">
        <v>9553</v>
      </c>
      <c r="B895" s="3">
        <f>H$6-_xlfn.MAXIFS(Table1[PurchaseDate],Table1[CustomerID],A895)</f>
        <v>34</v>
      </c>
      <c r="C895">
        <f>COUNTIF(Table1[CustomerID],A895)</f>
        <v>1</v>
      </c>
      <c r="D895" s="12">
        <f>SUMIF(Table1[CustomerID],A895,Table1[TransactionAmount])</f>
        <v>376.67</v>
      </c>
      <c r="E895" t="str">
        <f t="shared" si="68"/>
        <v>312</v>
      </c>
      <c r="F895" t="str">
        <f t="shared" si="69"/>
        <v>Needs Attention</v>
      </c>
      <c r="J895">
        <f t="shared" si="70"/>
        <v>3</v>
      </c>
      <c r="K895">
        <f t="shared" si="71"/>
        <v>1</v>
      </c>
      <c r="L895">
        <f t="shared" si="72"/>
        <v>2</v>
      </c>
    </row>
    <row r="896" spans="1:12" x14ac:dyDescent="0.35">
      <c r="A896">
        <v>9561</v>
      </c>
      <c r="B896" s="3">
        <f>H$6-_xlfn.MAXIFS(Table1[PurchaseDate],Table1[CustomerID],A896)</f>
        <v>53</v>
      </c>
      <c r="C896">
        <f>COUNTIF(Table1[CustomerID],A896)</f>
        <v>1</v>
      </c>
      <c r="D896" s="12">
        <f>SUMIF(Table1[CustomerID],A896,Table1[TransactionAmount])</f>
        <v>524.55999999999995</v>
      </c>
      <c r="E896" t="str">
        <f t="shared" si="68"/>
        <v>113</v>
      </c>
      <c r="F896" t="str">
        <f t="shared" si="69"/>
        <v>Needs Attention</v>
      </c>
      <c r="J896">
        <f t="shared" si="70"/>
        <v>1</v>
      </c>
      <c r="K896">
        <f t="shared" si="71"/>
        <v>1</v>
      </c>
      <c r="L896">
        <f t="shared" si="72"/>
        <v>3</v>
      </c>
    </row>
    <row r="897" spans="1:12" x14ac:dyDescent="0.35">
      <c r="A897">
        <v>9564</v>
      </c>
      <c r="B897" s="3">
        <f>H$6-_xlfn.MAXIFS(Table1[PurchaseDate],Table1[CustomerID],A897)</f>
        <v>5</v>
      </c>
      <c r="C897">
        <f>COUNTIF(Table1[CustomerID],A897)</f>
        <v>2</v>
      </c>
      <c r="D897" s="12">
        <f>SUMIF(Table1[CustomerID],A897,Table1[TransactionAmount])</f>
        <v>945.27</v>
      </c>
      <c r="E897" t="str">
        <f t="shared" si="68"/>
        <v>535</v>
      </c>
      <c r="F897" t="str">
        <f t="shared" si="69"/>
        <v>Champions</v>
      </c>
      <c r="J897">
        <f t="shared" si="70"/>
        <v>5</v>
      </c>
      <c r="K897">
        <f t="shared" si="71"/>
        <v>3</v>
      </c>
      <c r="L897">
        <f t="shared" si="72"/>
        <v>5</v>
      </c>
    </row>
    <row r="898" spans="1:12" x14ac:dyDescent="0.35">
      <c r="A898">
        <v>9571</v>
      </c>
      <c r="B898" s="3">
        <f>H$6-_xlfn.MAXIFS(Table1[PurchaseDate],Table1[CustomerID],A898)</f>
        <v>48</v>
      </c>
      <c r="C898">
        <f>COUNTIF(Table1[CustomerID],A898)</f>
        <v>1</v>
      </c>
      <c r="D898" s="12">
        <f>SUMIF(Table1[CustomerID],A898,Table1[TransactionAmount])</f>
        <v>364.34</v>
      </c>
      <c r="E898" t="str">
        <f t="shared" si="68"/>
        <v>112</v>
      </c>
      <c r="F898" t="str">
        <f t="shared" si="69"/>
        <v>At Risk</v>
      </c>
      <c r="J898">
        <f t="shared" si="70"/>
        <v>1</v>
      </c>
      <c r="K898">
        <f t="shared" si="71"/>
        <v>1</v>
      </c>
      <c r="L898">
        <f t="shared" si="72"/>
        <v>2</v>
      </c>
    </row>
    <row r="899" spans="1:12" x14ac:dyDescent="0.35">
      <c r="A899">
        <v>9576</v>
      </c>
      <c r="B899" s="3">
        <f>H$6-_xlfn.MAXIFS(Table1[PurchaseDate],Table1[CustomerID],A899)</f>
        <v>37</v>
      </c>
      <c r="C899">
        <f>COUNTIF(Table1[CustomerID],A899)</f>
        <v>1</v>
      </c>
      <c r="D899" s="12">
        <f>SUMIF(Table1[CustomerID],A899,Table1[TransactionAmount])</f>
        <v>77</v>
      </c>
      <c r="E899" t="str">
        <f t="shared" si="68"/>
        <v>311</v>
      </c>
      <c r="F899" t="str">
        <f t="shared" si="69"/>
        <v>Needs Attention</v>
      </c>
      <c r="J899">
        <f t="shared" si="70"/>
        <v>3</v>
      </c>
      <c r="K899">
        <f t="shared" si="71"/>
        <v>1</v>
      </c>
      <c r="L899">
        <f t="shared" si="72"/>
        <v>1</v>
      </c>
    </row>
    <row r="900" spans="1:12" x14ac:dyDescent="0.35">
      <c r="A900">
        <v>9582</v>
      </c>
      <c r="B900" s="3">
        <f>H$6-_xlfn.MAXIFS(Table1[PurchaseDate],Table1[CustomerID],A900)</f>
        <v>2</v>
      </c>
      <c r="C900">
        <f>COUNTIF(Table1[CustomerID],A900)</f>
        <v>1</v>
      </c>
      <c r="D900" s="12">
        <f>SUMIF(Table1[CustomerID],A900,Table1[TransactionAmount])</f>
        <v>143.9</v>
      </c>
      <c r="E900" t="str">
        <f t="shared" ref="E900:E948" si="73">J900&amp;K900&amp;L900</f>
        <v>511</v>
      </c>
      <c r="F900" t="str">
        <f t="shared" ref="F900:F948" si="74">IF(AND(J900&gt;=4,K900&gt;=3,L900&gt;=4),"Champions",IF(AND(J900&gt;=3,K900&gt;=2,L900&gt;=3),"Loyal Customers",IF(AND(J900&gt;=3,L900&gt;=3),"Potential Loyalists",IF(AND(J900&lt;=2,L900&lt;=2),"At Risk","Needs Attention"))))</f>
        <v>Needs Attention</v>
      </c>
      <c r="J900">
        <f t="shared" ref="J900:J948" si="75">ROUNDUP((COUNT($B$3:$B$948)-_xlfn.RANK.EQ(B900,$B$3:$B$948,1)+1)/COUNT($B$3:$B$948)*5,0)</f>
        <v>5</v>
      </c>
      <c r="K900">
        <f t="shared" ref="K900:K948" si="76">IF(C900=1,1,IF(C900=2,3,IF(C900=3,4,5)))</f>
        <v>1</v>
      </c>
      <c r="L900">
        <f t="shared" ref="L900:L948" si="77">IF(D900&gt;=_xlfn.PERCENTILE.INC($D$3:$D$948,0.8),5,IF(D900&gt;=_xlfn.PERCENTILE.INC($D$3:$D$948,0.6),4,IF(D900&gt;=_xlfn.PERCENTILE.INC($D$3:$D$948,0.4),3,IF(D900&gt;=_xlfn.PERCENTILE.INC($D$3:$D$948,0.2),2,1))))</f>
        <v>1</v>
      </c>
    </row>
    <row r="901" spans="1:12" x14ac:dyDescent="0.35">
      <c r="A901">
        <v>9584</v>
      </c>
      <c r="B901" s="3">
        <f>H$6-_xlfn.MAXIFS(Table1[PurchaseDate],Table1[CustomerID],A901)</f>
        <v>55</v>
      </c>
      <c r="C901">
        <f>COUNTIF(Table1[CustomerID],A901)</f>
        <v>2</v>
      </c>
      <c r="D901" s="12">
        <f>SUMIF(Table1[CustomerID],A901,Table1[TransactionAmount])</f>
        <v>1242.49</v>
      </c>
      <c r="E901" t="str">
        <f t="shared" si="73"/>
        <v>135</v>
      </c>
      <c r="F901" t="str">
        <f t="shared" si="74"/>
        <v>Needs Attention</v>
      </c>
      <c r="J901">
        <f t="shared" si="75"/>
        <v>1</v>
      </c>
      <c r="K901">
        <f t="shared" si="76"/>
        <v>3</v>
      </c>
      <c r="L901">
        <f t="shared" si="77"/>
        <v>5</v>
      </c>
    </row>
    <row r="902" spans="1:12" x14ac:dyDescent="0.35">
      <c r="A902">
        <v>9589</v>
      </c>
      <c r="B902" s="3">
        <f>H$6-_xlfn.MAXIFS(Table1[PurchaseDate],Table1[CustomerID],A902)</f>
        <v>45</v>
      </c>
      <c r="C902">
        <f>COUNTIF(Table1[CustomerID],A902)</f>
        <v>1</v>
      </c>
      <c r="D902" s="12">
        <f>SUMIF(Table1[CustomerID],A902,Table1[TransactionAmount])</f>
        <v>249.89</v>
      </c>
      <c r="E902" t="str">
        <f t="shared" si="73"/>
        <v>212</v>
      </c>
      <c r="F902" t="str">
        <f t="shared" si="74"/>
        <v>At Risk</v>
      </c>
      <c r="J902">
        <f t="shared" si="75"/>
        <v>2</v>
      </c>
      <c r="K902">
        <f t="shared" si="76"/>
        <v>1</v>
      </c>
      <c r="L902">
        <f t="shared" si="77"/>
        <v>2</v>
      </c>
    </row>
    <row r="903" spans="1:12" x14ac:dyDescent="0.35">
      <c r="A903">
        <v>9595</v>
      </c>
      <c r="B903" s="3">
        <f>H$6-_xlfn.MAXIFS(Table1[PurchaseDate],Table1[CustomerID],A903)</f>
        <v>47</v>
      </c>
      <c r="C903">
        <f>COUNTIF(Table1[CustomerID],A903)</f>
        <v>1</v>
      </c>
      <c r="D903" s="12">
        <f>SUMIF(Table1[CustomerID],A903,Table1[TransactionAmount])</f>
        <v>698.87</v>
      </c>
      <c r="E903" t="str">
        <f t="shared" si="73"/>
        <v>214</v>
      </c>
      <c r="F903" t="str">
        <f t="shared" si="74"/>
        <v>Needs Attention</v>
      </c>
      <c r="J903">
        <f t="shared" si="75"/>
        <v>2</v>
      </c>
      <c r="K903">
        <f t="shared" si="76"/>
        <v>1</v>
      </c>
      <c r="L903">
        <f t="shared" si="77"/>
        <v>4</v>
      </c>
    </row>
    <row r="904" spans="1:12" x14ac:dyDescent="0.35">
      <c r="A904">
        <v>9609</v>
      </c>
      <c r="B904" s="3">
        <f>H$6-_xlfn.MAXIFS(Table1[PurchaseDate],Table1[CustomerID],A904)</f>
        <v>36</v>
      </c>
      <c r="C904">
        <f>COUNTIF(Table1[CustomerID],A904)</f>
        <v>1</v>
      </c>
      <c r="D904" s="12">
        <f>SUMIF(Table1[CustomerID],A904,Table1[TransactionAmount])</f>
        <v>320.62</v>
      </c>
      <c r="E904" t="str">
        <f t="shared" si="73"/>
        <v>312</v>
      </c>
      <c r="F904" t="str">
        <f t="shared" si="74"/>
        <v>Needs Attention</v>
      </c>
      <c r="J904">
        <f t="shared" si="75"/>
        <v>3</v>
      </c>
      <c r="K904">
        <f t="shared" si="76"/>
        <v>1</v>
      </c>
      <c r="L904">
        <f t="shared" si="77"/>
        <v>2</v>
      </c>
    </row>
    <row r="905" spans="1:12" x14ac:dyDescent="0.35">
      <c r="A905">
        <v>9615</v>
      </c>
      <c r="B905" s="3">
        <f>H$6-_xlfn.MAXIFS(Table1[PurchaseDate],Table1[CustomerID],A905)</f>
        <v>21</v>
      </c>
      <c r="C905">
        <f>COUNTIF(Table1[CustomerID],A905)</f>
        <v>1</v>
      </c>
      <c r="D905" s="12">
        <f>SUMIF(Table1[CustomerID],A905,Table1[TransactionAmount])</f>
        <v>704.3</v>
      </c>
      <c r="E905" t="str">
        <f t="shared" si="73"/>
        <v>414</v>
      </c>
      <c r="F905" t="str">
        <f t="shared" si="74"/>
        <v>Potential Loyalists</v>
      </c>
      <c r="J905">
        <f t="shared" si="75"/>
        <v>4</v>
      </c>
      <c r="K905">
        <f t="shared" si="76"/>
        <v>1</v>
      </c>
      <c r="L905">
        <f t="shared" si="77"/>
        <v>4</v>
      </c>
    </row>
    <row r="906" spans="1:12" x14ac:dyDescent="0.35">
      <c r="A906">
        <v>9621</v>
      </c>
      <c r="B906" s="3">
        <f>H$6-_xlfn.MAXIFS(Table1[PurchaseDate],Table1[CustomerID],A906)</f>
        <v>18</v>
      </c>
      <c r="C906">
        <f>COUNTIF(Table1[CustomerID],A906)</f>
        <v>1</v>
      </c>
      <c r="D906" s="12">
        <f>SUMIF(Table1[CustomerID],A906,Table1[TransactionAmount])</f>
        <v>256.27999999999997</v>
      </c>
      <c r="E906" t="str">
        <f t="shared" si="73"/>
        <v>412</v>
      </c>
      <c r="F906" t="str">
        <f t="shared" si="74"/>
        <v>Needs Attention</v>
      </c>
      <c r="J906">
        <f t="shared" si="75"/>
        <v>4</v>
      </c>
      <c r="K906">
        <f t="shared" si="76"/>
        <v>1</v>
      </c>
      <c r="L906">
        <f t="shared" si="77"/>
        <v>2</v>
      </c>
    </row>
    <row r="907" spans="1:12" x14ac:dyDescent="0.35">
      <c r="A907">
        <v>9622</v>
      </c>
      <c r="B907" s="3">
        <f>H$6-_xlfn.MAXIFS(Table1[PurchaseDate],Table1[CustomerID],A907)</f>
        <v>5</v>
      </c>
      <c r="C907">
        <f>COUNTIF(Table1[CustomerID],A907)</f>
        <v>1</v>
      </c>
      <c r="D907" s="12">
        <f>SUMIF(Table1[CustomerID],A907,Table1[TransactionAmount])</f>
        <v>371.24</v>
      </c>
      <c r="E907" t="str">
        <f t="shared" si="73"/>
        <v>512</v>
      </c>
      <c r="F907" t="str">
        <f t="shared" si="74"/>
        <v>Needs Attention</v>
      </c>
      <c r="J907">
        <f t="shared" si="75"/>
        <v>5</v>
      </c>
      <c r="K907">
        <f t="shared" si="76"/>
        <v>1</v>
      </c>
      <c r="L907">
        <f t="shared" si="77"/>
        <v>2</v>
      </c>
    </row>
    <row r="908" spans="1:12" x14ac:dyDescent="0.35">
      <c r="A908">
        <v>9625</v>
      </c>
      <c r="B908" s="3">
        <f>H$6-_xlfn.MAXIFS(Table1[PurchaseDate],Table1[CustomerID],A908)</f>
        <v>44</v>
      </c>
      <c r="C908">
        <f>COUNTIF(Table1[CustomerID],A908)</f>
        <v>1</v>
      </c>
      <c r="D908" s="12">
        <f>SUMIF(Table1[CustomerID],A908,Table1[TransactionAmount])</f>
        <v>817.06</v>
      </c>
      <c r="E908" t="str">
        <f t="shared" si="73"/>
        <v>214</v>
      </c>
      <c r="F908" t="str">
        <f t="shared" si="74"/>
        <v>Needs Attention</v>
      </c>
      <c r="J908">
        <f t="shared" si="75"/>
        <v>2</v>
      </c>
      <c r="K908">
        <f t="shared" si="76"/>
        <v>1</v>
      </c>
      <c r="L908">
        <f t="shared" si="77"/>
        <v>4</v>
      </c>
    </row>
    <row r="909" spans="1:12" x14ac:dyDescent="0.35">
      <c r="A909">
        <v>9669</v>
      </c>
      <c r="B909" s="3">
        <f>H$6-_xlfn.MAXIFS(Table1[PurchaseDate],Table1[CustomerID],A909)</f>
        <v>44</v>
      </c>
      <c r="C909">
        <f>COUNTIF(Table1[CustomerID],A909)</f>
        <v>1</v>
      </c>
      <c r="D909" s="12">
        <f>SUMIF(Table1[CustomerID],A909,Table1[TransactionAmount])</f>
        <v>971.37</v>
      </c>
      <c r="E909" t="str">
        <f t="shared" si="73"/>
        <v>215</v>
      </c>
      <c r="F909" t="str">
        <f t="shared" si="74"/>
        <v>Needs Attention</v>
      </c>
      <c r="J909">
        <f t="shared" si="75"/>
        <v>2</v>
      </c>
      <c r="K909">
        <f t="shared" si="76"/>
        <v>1</v>
      </c>
      <c r="L909">
        <f t="shared" si="77"/>
        <v>5</v>
      </c>
    </row>
    <row r="910" spans="1:12" x14ac:dyDescent="0.35">
      <c r="A910">
        <v>9673</v>
      </c>
      <c r="B910" s="3">
        <f>H$6-_xlfn.MAXIFS(Table1[PurchaseDate],Table1[CustomerID],A910)</f>
        <v>14</v>
      </c>
      <c r="C910">
        <f>COUNTIF(Table1[CustomerID],A910)</f>
        <v>1</v>
      </c>
      <c r="D910" s="12">
        <f>SUMIF(Table1[CustomerID],A910,Table1[TransactionAmount])</f>
        <v>281.99</v>
      </c>
      <c r="E910" t="str">
        <f t="shared" si="73"/>
        <v>412</v>
      </c>
      <c r="F910" t="str">
        <f t="shared" si="74"/>
        <v>Needs Attention</v>
      </c>
      <c r="J910">
        <f t="shared" si="75"/>
        <v>4</v>
      </c>
      <c r="K910">
        <f t="shared" si="76"/>
        <v>1</v>
      </c>
      <c r="L910">
        <f t="shared" si="77"/>
        <v>2</v>
      </c>
    </row>
    <row r="911" spans="1:12" x14ac:dyDescent="0.35">
      <c r="A911">
        <v>9674</v>
      </c>
      <c r="B911" s="3">
        <f>H$6-_xlfn.MAXIFS(Table1[PurchaseDate],Table1[CustomerID],A911)</f>
        <v>38</v>
      </c>
      <c r="C911">
        <f>COUNTIF(Table1[CustomerID],A911)</f>
        <v>1</v>
      </c>
      <c r="D911" s="12">
        <f>SUMIF(Table1[CustomerID],A911,Table1[TransactionAmount])</f>
        <v>769.17</v>
      </c>
      <c r="E911" t="str">
        <f t="shared" si="73"/>
        <v>214</v>
      </c>
      <c r="F911" t="str">
        <f t="shared" si="74"/>
        <v>Needs Attention</v>
      </c>
      <c r="J911">
        <f t="shared" si="75"/>
        <v>2</v>
      </c>
      <c r="K911">
        <f t="shared" si="76"/>
        <v>1</v>
      </c>
      <c r="L911">
        <f t="shared" si="77"/>
        <v>4</v>
      </c>
    </row>
    <row r="912" spans="1:12" x14ac:dyDescent="0.35">
      <c r="A912">
        <v>9680</v>
      </c>
      <c r="B912" s="3">
        <f>H$6-_xlfn.MAXIFS(Table1[PurchaseDate],Table1[CustomerID],A912)</f>
        <v>41</v>
      </c>
      <c r="C912">
        <f>COUNTIF(Table1[CustomerID],A912)</f>
        <v>2</v>
      </c>
      <c r="D912" s="12">
        <f>SUMIF(Table1[CustomerID],A912,Table1[TransactionAmount])</f>
        <v>844.6</v>
      </c>
      <c r="E912" t="str">
        <f t="shared" si="73"/>
        <v>235</v>
      </c>
      <c r="F912" t="str">
        <f t="shared" si="74"/>
        <v>Needs Attention</v>
      </c>
      <c r="J912">
        <f t="shared" si="75"/>
        <v>2</v>
      </c>
      <c r="K912">
        <f t="shared" si="76"/>
        <v>3</v>
      </c>
      <c r="L912">
        <f t="shared" si="77"/>
        <v>5</v>
      </c>
    </row>
    <row r="913" spans="1:12" x14ac:dyDescent="0.35">
      <c r="A913">
        <v>9689</v>
      </c>
      <c r="B913" s="3">
        <f>H$6-_xlfn.MAXIFS(Table1[PurchaseDate],Table1[CustomerID],A913)</f>
        <v>13</v>
      </c>
      <c r="C913">
        <f>COUNTIF(Table1[CustomerID],A913)</f>
        <v>1</v>
      </c>
      <c r="D913" s="12">
        <f>SUMIF(Table1[CustomerID],A913,Table1[TransactionAmount])</f>
        <v>58.09</v>
      </c>
      <c r="E913" t="str">
        <f t="shared" si="73"/>
        <v>411</v>
      </c>
      <c r="F913" t="str">
        <f t="shared" si="74"/>
        <v>Needs Attention</v>
      </c>
      <c r="J913">
        <f t="shared" si="75"/>
        <v>4</v>
      </c>
      <c r="K913">
        <f t="shared" si="76"/>
        <v>1</v>
      </c>
      <c r="L913">
        <f t="shared" si="77"/>
        <v>1</v>
      </c>
    </row>
    <row r="914" spans="1:12" x14ac:dyDescent="0.35">
      <c r="A914">
        <v>9693</v>
      </c>
      <c r="B914" s="3">
        <f>H$6-_xlfn.MAXIFS(Table1[PurchaseDate],Table1[CustomerID],A914)</f>
        <v>28</v>
      </c>
      <c r="C914">
        <f>COUNTIF(Table1[CustomerID],A914)</f>
        <v>1</v>
      </c>
      <c r="D914" s="12">
        <f>SUMIF(Table1[CustomerID],A914,Table1[TransactionAmount])</f>
        <v>201.96</v>
      </c>
      <c r="E914" t="str">
        <f t="shared" si="73"/>
        <v>311</v>
      </c>
      <c r="F914" t="str">
        <f t="shared" si="74"/>
        <v>Needs Attention</v>
      </c>
      <c r="J914">
        <f t="shared" si="75"/>
        <v>3</v>
      </c>
      <c r="K914">
        <f t="shared" si="76"/>
        <v>1</v>
      </c>
      <c r="L914">
        <f t="shared" si="77"/>
        <v>1</v>
      </c>
    </row>
    <row r="915" spans="1:12" x14ac:dyDescent="0.35">
      <c r="A915">
        <v>9700</v>
      </c>
      <c r="B915" s="3">
        <f>H$6-_xlfn.MAXIFS(Table1[PurchaseDate],Table1[CustomerID],A915)</f>
        <v>46</v>
      </c>
      <c r="C915">
        <f>COUNTIF(Table1[CustomerID],A915)</f>
        <v>1</v>
      </c>
      <c r="D915" s="12">
        <f>SUMIF(Table1[CustomerID],A915,Table1[TransactionAmount])</f>
        <v>641.57000000000005</v>
      </c>
      <c r="E915" t="str">
        <f t="shared" si="73"/>
        <v>213</v>
      </c>
      <c r="F915" t="str">
        <f t="shared" si="74"/>
        <v>Needs Attention</v>
      </c>
      <c r="J915">
        <f t="shared" si="75"/>
        <v>2</v>
      </c>
      <c r="K915">
        <f t="shared" si="76"/>
        <v>1</v>
      </c>
      <c r="L915">
        <f t="shared" si="77"/>
        <v>3</v>
      </c>
    </row>
    <row r="916" spans="1:12" x14ac:dyDescent="0.35">
      <c r="A916">
        <v>9702</v>
      </c>
      <c r="B916" s="3">
        <f>H$6-_xlfn.MAXIFS(Table1[PurchaseDate],Table1[CustomerID],A916)</f>
        <v>34</v>
      </c>
      <c r="C916">
        <f>COUNTIF(Table1[CustomerID],A916)</f>
        <v>1</v>
      </c>
      <c r="D916" s="12">
        <f>SUMIF(Table1[CustomerID],A916,Table1[TransactionAmount])</f>
        <v>570.27</v>
      </c>
      <c r="E916" t="str">
        <f t="shared" si="73"/>
        <v>313</v>
      </c>
      <c r="F916" t="str">
        <f t="shared" si="74"/>
        <v>Potential Loyalists</v>
      </c>
      <c r="J916">
        <f t="shared" si="75"/>
        <v>3</v>
      </c>
      <c r="K916">
        <f t="shared" si="76"/>
        <v>1</v>
      </c>
      <c r="L916">
        <f t="shared" si="77"/>
        <v>3</v>
      </c>
    </row>
    <row r="917" spans="1:12" x14ac:dyDescent="0.35">
      <c r="A917">
        <v>9740</v>
      </c>
      <c r="B917" s="3">
        <f>H$6-_xlfn.MAXIFS(Table1[PurchaseDate],Table1[CustomerID],A917)</f>
        <v>55</v>
      </c>
      <c r="C917">
        <f>COUNTIF(Table1[CustomerID],A917)</f>
        <v>1</v>
      </c>
      <c r="D917" s="12">
        <f>SUMIF(Table1[CustomerID],A917,Table1[TransactionAmount])</f>
        <v>507.55</v>
      </c>
      <c r="E917" t="str">
        <f t="shared" si="73"/>
        <v>113</v>
      </c>
      <c r="F917" t="str">
        <f t="shared" si="74"/>
        <v>Needs Attention</v>
      </c>
      <c r="J917">
        <f t="shared" si="75"/>
        <v>1</v>
      </c>
      <c r="K917">
        <f t="shared" si="76"/>
        <v>1</v>
      </c>
      <c r="L917">
        <f t="shared" si="77"/>
        <v>3</v>
      </c>
    </row>
    <row r="918" spans="1:12" x14ac:dyDescent="0.35">
      <c r="A918">
        <v>9747</v>
      </c>
      <c r="B918" s="3">
        <f>H$6-_xlfn.MAXIFS(Table1[PurchaseDate],Table1[CustomerID],A918)</f>
        <v>42</v>
      </c>
      <c r="C918">
        <f>COUNTIF(Table1[CustomerID],A918)</f>
        <v>1</v>
      </c>
      <c r="D918" s="12">
        <f>SUMIF(Table1[CustomerID],A918,Table1[TransactionAmount])</f>
        <v>878.7</v>
      </c>
      <c r="E918" t="str">
        <f t="shared" si="73"/>
        <v>215</v>
      </c>
      <c r="F918" t="str">
        <f t="shared" si="74"/>
        <v>Needs Attention</v>
      </c>
      <c r="J918">
        <f t="shared" si="75"/>
        <v>2</v>
      </c>
      <c r="K918">
        <f t="shared" si="76"/>
        <v>1</v>
      </c>
      <c r="L918">
        <f t="shared" si="77"/>
        <v>5</v>
      </c>
    </row>
    <row r="919" spans="1:12" x14ac:dyDescent="0.35">
      <c r="A919">
        <v>9751</v>
      </c>
      <c r="B919" s="3">
        <f>H$6-_xlfn.MAXIFS(Table1[PurchaseDate],Table1[CustomerID],A919)</f>
        <v>14</v>
      </c>
      <c r="C919">
        <f>COUNTIF(Table1[CustomerID],A919)</f>
        <v>1</v>
      </c>
      <c r="D919" s="12">
        <f>SUMIF(Table1[CustomerID],A919,Table1[TransactionAmount])</f>
        <v>252.36</v>
      </c>
      <c r="E919" t="str">
        <f t="shared" si="73"/>
        <v>412</v>
      </c>
      <c r="F919" t="str">
        <f t="shared" si="74"/>
        <v>Needs Attention</v>
      </c>
      <c r="J919">
        <f t="shared" si="75"/>
        <v>4</v>
      </c>
      <c r="K919">
        <f t="shared" si="76"/>
        <v>1</v>
      </c>
      <c r="L919">
        <f t="shared" si="77"/>
        <v>2</v>
      </c>
    </row>
    <row r="920" spans="1:12" x14ac:dyDescent="0.35">
      <c r="A920">
        <v>9756</v>
      </c>
      <c r="B920" s="3">
        <f>H$6-_xlfn.MAXIFS(Table1[PurchaseDate],Table1[CustomerID],A920)</f>
        <v>35</v>
      </c>
      <c r="C920">
        <f>COUNTIF(Table1[CustomerID],A920)</f>
        <v>1</v>
      </c>
      <c r="D920" s="12">
        <f>SUMIF(Table1[CustomerID],A920,Table1[TransactionAmount])</f>
        <v>225.65</v>
      </c>
      <c r="E920" t="str">
        <f t="shared" si="73"/>
        <v>312</v>
      </c>
      <c r="F920" t="str">
        <f t="shared" si="74"/>
        <v>Needs Attention</v>
      </c>
      <c r="J920">
        <f t="shared" si="75"/>
        <v>3</v>
      </c>
      <c r="K920">
        <f t="shared" si="76"/>
        <v>1</v>
      </c>
      <c r="L920">
        <f t="shared" si="77"/>
        <v>2</v>
      </c>
    </row>
    <row r="921" spans="1:12" x14ac:dyDescent="0.35">
      <c r="A921">
        <v>9761</v>
      </c>
      <c r="B921" s="3">
        <f>H$6-_xlfn.MAXIFS(Table1[PurchaseDate],Table1[CustomerID],A921)</f>
        <v>21</v>
      </c>
      <c r="C921">
        <f>COUNTIF(Table1[CustomerID],A921)</f>
        <v>1</v>
      </c>
      <c r="D921" s="12">
        <f>SUMIF(Table1[CustomerID],A921,Table1[TransactionAmount])</f>
        <v>58.1</v>
      </c>
      <c r="E921" t="str">
        <f t="shared" si="73"/>
        <v>411</v>
      </c>
      <c r="F921" t="str">
        <f t="shared" si="74"/>
        <v>Needs Attention</v>
      </c>
      <c r="J921">
        <f t="shared" si="75"/>
        <v>4</v>
      </c>
      <c r="K921">
        <f t="shared" si="76"/>
        <v>1</v>
      </c>
      <c r="L921">
        <f t="shared" si="77"/>
        <v>1</v>
      </c>
    </row>
    <row r="922" spans="1:12" x14ac:dyDescent="0.35">
      <c r="A922">
        <v>9785</v>
      </c>
      <c r="B922" s="3">
        <f>H$6-_xlfn.MAXIFS(Table1[PurchaseDate],Table1[CustomerID],A922)</f>
        <v>39</v>
      </c>
      <c r="C922">
        <f>COUNTIF(Table1[CustomerID],A922)</f>
        <v>1</v>
      </c>
      <c r="D922" s="12">
        <f>SUMIF(Table1[CustomerID],A922,Table1[TransactionAmount])</f>
        <v>939.84</v>
      </c>
      <c r="E922" t="str">
        <f t="shared" si="73"/>
        <v>215</v>
      </c>
      <c r="F922" t="str">
        <f t="shared" si="74"/>
        <v>Needs Attention</v>
      </c>
      <c r="J922">
        <f t="shared" si="75"/>
        <v>2</v>
      </c>
      <c r="K922">
        <f t="shared" si="76"/>
        <v>1</v>
      </c>
      <c r="L922">
        <f t="shared" si="77"/>
        <v>5</v>
      </c>
    </row>
    <row r="923" spans="1:12" x14ac:dyDescent="0.35">
      <c r="A923">
        <v>9788</v>
      </c>
      <c r="B923" s="3">
        <f>H$6-_xlfn.MAXIFS(Table1[PurchaseDate],Table1[CustomerID],A923)</f>
        <v>40</v>
      </c>
      <c r="C923">
        <f>COUNTIF(Table1[CustomerID],A923)</f>
        <v>1</v>
      </c>
      <c r="D923" s="12">
        <f>SUMIF(Table1[CustomerID],A923,Table1[TransactionAmount])</f>
        <v>396.82</v>
      </c>
      <c r="E923" t="str">
        <f t="shared" si="73"/>
        <v>212</v>
      </c>
      <c r="F923" t="str">
        <f t="shared" si="74"/>
        <v>At Risk</v>
      </c>
      <c r="J923">
        <f t="shared" si="75"/>
        <v>2</v>
      </c>
      <c r="K923">
        <f t="shared" si="76"/>
        <v>1</v>
      </c>
      <c r="L923">
        <f t="shared" si="77"/>
        <v>2</v>
      </c>
    </row>
    <row r="924" spans="1:12" x14ac:dyDescent="0.35">
      <c r="A924">
        <v>9796</v>
      </c>
      <c r="B924" s="3">
        <f>H$6-_xlfn.MAXIFS(Table1[PurchaseDate],Table1[CustomerID],A924)</f>
        <v>49</v>
      </c>
      <c r="C924">
        <f>COUNTIF(Table1[CustomerID],A924)</f>
        <v>1</v>
      </c>
      <c r="D924" s="12">
        <f>SUMIF(Table1[CustomerID],A924,Table1[TransactionAmount])</f>
        <v>372.14</v>
      </c>
      <c r="E924" t="str">
        <f t="shared" si="73"/>
        <v>112</v>
      </c>
      <c r="F924" t="str">
        <f t="shared" si="74"/>
        <v>At Risk</v>
      </c>
      <c r="J924">
        <f t="shared" si="75"/>
        <v>1</v>
      </c>
      <c r="K924">
        <f t="shared" si="76"/>
        <v>1</v>
      </c>
      <c r="L924">
        <f t="shared" si="77"/>
        <v>2</v>
      </c>
    </row>
    <row r="925" spans="1:12" x14ac:dyDescent="0.35">
      <c r="A925">
        <v>9797</v>
      </c>
      <c r="B925" s="3">
        <f>H$6-_xlfn.MAXIFS(Table1[PurchaseDate],Table1[CustomerID],A925)</f>
        <v>12</v>
      </c>
      <c r="C925">
        <f>COUNTIF(Table1[CustomerID],A925)</f>
        <v>1</v>
      </c>
      <c r="D925" s="12">
        <f>SUMIF(Table1[CustomerID],A925,Table1[TransactionAmount])</f>
        <v>274.16000000000003</v>
      </c>
      <c r="E925" t="str">
        <f t="shared" si="73"/>
        <v>512</v>
      </c>
      <c r="F925" t="str">
        <f t="shared" si="74"/>
        <v>Needs Attention</v>
      </c>
      <c r="J925">
        <f t="shared" si="75"/>
        <v>5</v>
      </c>
      <c r="K925">
        <f t="shared" si="76"/>
        <v>1</v>
      </c>
      <c r="L925">
        <f t="shared" si="77"/>
        <v>2</v>
      </c>
    </row>
    <row r="926" spans="1:12" x14ac:dyDescent="0.35">
      <c r="A926">
        <v>9802</v>
      </c>
      <c r="B926" s="3">
        <f>H$6-_xlfn.MAXIFS(Table1[PurchaseDate],Table1[CustomerID],A926)</f>
        <v>35</v>
      </c>
      <c r="C926">
        <f>COUNTIF(Table1[CustomerID],A926)</f>
        <v>1</v>
      </c>
      <c r="D926" s="12">
        <f>SUMIF(Table1[CustomerID],A926,Table1[TransactionAmount])</f>
        <v>533.54999999999995</v>
      </c>
      <c r="E926" t="str">
        <f t="shared" si="73"/>
        <v>313</v>
      </c>
      <c r="F926" t="str">
        <f t="shared" si="74"/>
        <v>Potential Loyalists</v>
      </c>
      <c r="J926">
        <f t="shared" si="75"/>
        <v>3</v>
      </c>
      <c r="K926">
        <f t="shared" si="76"/>
        <v>1</v>
      </c>
      <c r="L926">
        <f t="shared" si="77"/>
        <v>3</v>
      </c>
    </row>
    <row r="927" spans="1:12" x14ac:dyDescent="0.35">
      <c r="A927">
        <v>9806</v>
      </c>
      <c r="B927" s="3">
        <f>H$6-_xlfn.MAXIFS(Table1[PurchaseDate],Table1[CustomerID],A927)</f>
        <v>9</v>
      </c>
      <c r="C927">
        <f>COUNTIF(Table1[CustomerID],A927)</f>
        <v>1</v>
      </c>
      <c r="D927" s="12">
        <f>SUMIF(Table1[CustomerID],A927,Table1[TransactionAmount])</f>
        <v>667.45</v>
      </c>
      <c r="E927" t="str">
        <f t="shared" si="73"/>
        <v>514</v>
      </c>
      <c r="F927" t="str">
        <f t="shared" si="74"/>
        <v>Potential Loyalists</v>
      </c>
      <c r="J927">
        <f t="shared" si="75"/>
        <v>5</v>
      </c>
      <c r="K927">
        <f t="shared" si="76"/>
        <v>1</v>
      </c>
      <c r="L927">
        <f t="shared" si="77"/>
        <v>4</v>
      </c>
    </row>
    <row r="928" spans="1:12" x14ac:dyDescent="0.35">
      <c r="A928">
        <v>9821</v>
      </c>
      <c r="B928" s="3">
        <f>H$6-_xlfn.MAXIFS(Table1[PurchaseDate],Table1[CustomerID],A928)</f>
        <v>49</v>
      </c>
      <c r="C928">
        <f>COUNTIF(Table1[CustomerID],A928)</f>
        <v>1</v>
      </c>
      <c r="D928" s="12">
        <f>SUMIF(Table1[CustomerID],A928,Table1[TransactionAmount])</f>
        <v>979.58</v>
      </c>
      <c r="E928" t="str">
        <f t="shared" si="73"/>
        <v>115</v>
      </c>
      <c r="F928" t="str">
        <f t="shared" si="74"/>
        <v>Needs Attention</v>
      </c>
      <c r="J928">
        <f t="shared" si="75"/>
        <v>1</v>
      </c>
      <c r="K928">
        <f t="shared" si="76"/>
        <v>1</v>
      </c>
      <c r="L928">
        <f t="shared" si="77"/>
        <v>5</v>
      </c>
    </row>
    <row r="929" spans="1:12" x14ac:dyDescent="0.35">
      <c r="A929">
        <v>9824</v>
      </c>
      <c r="B929" s="3">
        <f>H$6-_xlfn.MAXIFS(Table1[PurchaseDate],Table1[CustomerID],A929)</f>
        <v>30</v>
      </c>
      <c r="C929">
        <f>COUNTIF(Table1[CustomerID],A929)</f>
        <v>2</v>
      </c>
      <c r="D929" s="12">
        <f>SUMIF(Table1[CustomerID],A929,Table1[TransactionAmount])</f>
        <v>622.27</v>
      </c>
      <c r="E929" t="str">
        <f t="shared" si="73"/>
        <v>333</v>
      </c>
      <c r="F929" t="str">
        <f t="shared" si="74"/>
        <v>Loyal Customers</v>
      </c>
      <c r="J929">
        <f t="shared" si="75"/>
        <v>3</v>
      </c>
      <c r="K929">
        <f t="shared" si="76"/>
        <v>3</v>
      </c>
      <c r="L929">
        <f t="shared" si="77"/>
        <v>3</v>
      </c>
    </row>
    <row r="930" spans="1:12" x14ac:dyDescent="0.35">
      <c r="A930">
        <v>9835</v>
      </c>
      <c r="B930" s="3">
        <f>H$6-_xlfn.MAXIFS(Table1[PurchaseDate],Table1[CustomerID],A930)</f>
        <v>52</v>
      </c>
      <c r="C930">
        <f>COUNTIF(Table1[CustomerID],A930)</f>
        <v>1</v>
      </c>
      <c r="D930" s="12">
        <f>SUMIF(Table1[CustomerID],A930,Table1[TransactionAmount])</f>
        <v>657</v>
      </c>
      <c r="E930" t="str">
        <f t="shared" si="73"/>
        <v>114</v>
      </c>
      <c r="F930" t="str">
        <f t="shared" si="74"/>
        <v>Needs Attention</v>
      </c>
      <c r="J930">
        <f t="shared" si="75"/>
        <v>1</v>
      </c>
      <c r="K930">
        <f t="shared" si="76"/>
        <v>1</v>
      </c>
      <c r="L930">
        <f t="shared" si="77"/>
        <v>4</v>
      </c>
    </row>
    <row r="931" spans="1:12" x14ac:dyDescent="0.35">
      <c r="A931">
        <v>9841</v>
      </c>
      <c r="B931" s="3">
        <f>H$6-_xlfn.MAXIFS(Table1[PurchaseDate],Table1[CustomerID],A931)</f>
        <v>46</v>
      </c>
      <c r="C931">
        <f>COUNTIF(Table1[CustomerID],A931)</f>
        <v>1</v>
      </c>
      <c r="D931" s="12">
        <f>SUMIF(Table1[CustomerID],A931,Table1[TransactionAmount])</f>
        <v>806.66</v>
      </c>
      <c r="E931" t="str">
        <f t="shared" si="73"/>
        <v>214</v>
      </c>
      <c r="F931" t="str">
        <f t="shared" si="74"/>
        <v>Needs Attention</v>
      </c>
      <c r="J931">
        <f t="shared" si="75"/>
        <v>2</v>
      </c>
      <c r="K931">
        <f t="shared" si="76"/>
        <v>1</v>
      </c>
      <c r="L931">
        <f t="shared" si="77"/>
        <v>4</v>
      </c>
    </row>
    <row r="932" spans="1:12" x14ac:dyDescent="0.35">
      <c r="A932">
        <v>9849</v>
      </c>
      <c r="B932" s="3">
        <f>H$6-_xlfn.MAXIFS(Table1[PurchaseDate],Table1[CustomerID],A932)</f>
        <v>44</v>
      </c>
      <c r="C932">
        <f>COUNTIF(Table1[CustomerID],A932)</f>
        <v>1</v>
      </c>
      <c r="D932" s="12">
        <f>SUMIF(Table1[CustomerID],A932,Table1[TransactionAmount])</f>
        <v>663.99</v>
      </c>
      <c r="E932" t="str">
        <f t="shared" si="73"/>
        <v>214</v>
      </c>
      <c r="F932" t="str">
        <f t="shared" si="74"/>
        <v>Needs Attention</v>
      </c>
      <c r="J932">
        <f t="shared" si="75"/>
        <v>2</v>
      </c>
      <c r="K932">
        <f t="shared" si="76"/>
        <v>1</v>
      </c>
      <c r="L932">
        <f t="shared" si="77"/>
        <v>4</v>
      </c>
    </row>
    <row r="933" spans="1:12" x14ac:dyDescent="0.35">
      <c r="A933">
        <v>9864</v>
      </c>
      <c r="B933" s="3">
        <f>H$6-_xlfn.MAXIFS(Table1[PurchaseDate],Table1[CustomerID],A933)</f>
        <v>58</v>
      </c>
      <c r="C933">
        <f>COUNTIF(Table1[CustomerID],A933)</f>
        <v>1</v>
      </c>
      <c r="D933" s="12">
        <f>SUMIF(Table1[CustomerID],A933,Table1[TransactionAmount])</f>
        <v>621.28</v>
      </c>
      <c r="E933" t="str">
        <f t="shared" si="73"/>
        <v>113</v>
      </c>
      <c r="F933" t="str">
        <f t="shared" si="74"/>
        <v>Needs Attention</v>
      </c>
      <c r="J933">
        <f t="shared" si="75"/>
        <v>1</v>
      </c>
      <c r="K933">
        <f t="shared" si="76"/>
        <v>1</v>
      </c>
      <c r="L933">
        <f t="shared" si="77"/>
        <v>3</v>
      </c>
    </row>
    <row r="934" spans="1:12" x14ac:dyDescent="0.35">
      <c r="A934">
        <v>9871</v>
      </c>
      <c r="B934" s="3">
        <f>H$6-_xlfn.MAXIFS(Table1[PurchaseDate],Table1[CustomerID],A934)</f>
        <v>34</v>
      </c>
      <c r="C934">
        <f>COUNTIF(Table1[CustomerID],A934)</f>
        <v>2</v>
      </c>
      <c r="D934" s="12">
        <f>SUMIF(Table1[CustomerID],A934,Table1[TransactionAmount])</f>
        <v>1820.53</v>
      </c>
      <c r="E934" t="str">
        <f t="shared" si="73"/>
        <v>335</v>
      </c>
      <c r="F934" t="str">
        <f t="shared" si="74"/>
        <v>Loyal Customers</v>
      </c>
      <c r="J934">
        <f t="shared" si="75"/>
        <v>3</v>
      </c>
      <c r="K934">
        <f t="shared" si="76"/>
        <v>3</v>
      </c>
      <c r="L934">
        <f t="shared" si="77"/>
        <v>5</v>
      </c>
    </row>
    <row r="935" spans="1:12" x14ac:dyDescent="0.35">
      <c r="A935">
        <v>9880</v>
      </c>
      <c r="B935" s="3">
        <f>H$6-_xlfn.MAXIFS(Table1[PurchaseDate],Table1[CustomerID],A935)</f>
        <v>8</v>
      </c>
      <c r="C935">
        <f>COUNTIF(Table1[CustomerID],A935)</f>
        <v>1</v>
      </c>
      <c r="D935" s="12">
        <f>SUMIF(Table1[CustomerID],A935,Table1[TransactionAmount])</f>
        <v>759.22</v>
      </c>
      <c r="E935" t="str">
        <f t="shared" si="73"/>
        <v>514</v>
      </c>
      <c r="F935" t="str">
        <f t="shared" si="74"/>
        <v>Potential Loyalists</v>
      </c>
      <c r="J935">
        <f t="shared" si="75"/>
        <v>5</v>
      </c>
      <c r="K935">
        <f t="shared" si="76"/>
        <v>1</v>
      </c>
      <c r="L935">
        <f t="shared" si="77"/>
        <v>4</v>
      </c>
    </row>
    <row r="936" spans="1:12" x14ac:dyDescent="0.35">
      <c r="A936">
        <v>9892</v>
      </c>
      <c r="B936" s="3">
        <f>H$6-_xlfn.MAXIFS(Table1[PurchaseDate],Table1[CustomerID],A936)</f>
        <v>16</v>
      </c>
      <c r="C936">
        <f>COUNTIF(Table1[CustomerID],A936)</f>
        <v>1</v>
      </c>
      <c r="D936" s="12">
        <f>SUMIF(Table1[CustomerID],A936,Table1[TransactionAmount])</f>
        <v>495.19</v>
      </c>
      <c r="E936" t="str">
        <f t="shared" si="73"/>
        <v>413</v>
      </c>
      <c r="F936" t="str">
        <f t="shared" si="74"/>
        <v>Potential Loyalists</v>
      </c>
      <c r="J936">
        <f t="shared" si="75"/>
        <v>4</v>
      </c>
      <c r="K936">
        <f t="shared" si="76"/>
        <v>1</v>
      </c>
      <c r="L936">
        <f t="shared" si="77"/>
        <v>3</v>
      </c>
    </row>
    <row r="937" spans="1:12" x14ac:dyDescent="0.35">
      <c r="A937">
        <v>9897</v>
      </c>
      <c r="B937" s="3">
        <f>H$6-_xlfn.MAXIFS(Table1[PurchaseDate],Table1[CustomerID],A937)</f>
        <v>24</v>
      </c>
      <c r="C937">
        <f>COUNTIF(Table1[CustomerID],A937)</f>
        <v>1</v>
      </c>
      <c r="D937" s="12">
        <f>SUMIF(Table1[CustomerID],A937,Table1[TransactionAmount])</f>
        <v>661.53</v>
      </c>
      <c r="E937" t="str">
        <f t="shared" si="73"/>
        <v>414</v>
      </c>
      <c r="F937" t="str">
        <f t="shared" si="74"/>
        <v>Potential Loyalists</v>
      </c>
      <c r="J937">
        <f t="shared" si="75"/>
        <v>4</v>
      </c>
      <c r="K937">
        <f t="shared" si="76"/>
        <v>1</v>
      </c>
      <c r="L937">
        <f t="shared" si="77"/>
        <v>4</v>
      </c>
    </row>
    <row r="938" spans="1:12" x14ac:dyDescent="0.35">
      <c r="A938">
        <v>9899</v>
      </c>
      <c r="B938" s="3">
        <f>H$6-_xlfn.MAXIFS(Table1[PurchaseDate],Table1[CustomerID],A938)</f>
        <v>36</v>
      </c>
      <c r="C938">
        <f>COUNTIF(Table1[CustomerID],A938)</f>
        <v>1</v>
      </c>
      <c r="D938" s="12">
        <f>SUMIF(Table1[CustomerID],A938,Table1[TransactionAmount])</f>
        <v>896.8</v>
      </c>
      <c r="E938" t="str">
        <f t="shared" si="73"/>
        <v>315</v>
      </c>
      <c r="F938" t="str">
        <f t="shared" si="74"/>
        <v>Potential Loyalists</v>
      </c>
      <c r="J938">
        <f t="shared" si="75"/>
        <v>3</v>
      </c>
      <c r="K938">
        <f t="shared" si="76"/>
        <v>1</v>
      </c>
      <c r="L938">
        <f t="shared" si="77"/>
        <v>5</v>
      </c>
    </row>
    <row r="939" spans="1:12" x14ac:dyDescent="0.35">
      <c r="A939">
        <v>9901</v>
      </c>
      <c r="B939" s="3">
        <f>H$6-_xlfn.MAXIFS(Table1[PurchaseDate],Table1[CustomerID],A939)</f>
        <v>27</v>
      </c>
      <c r="C939">
        <f>COUNTIF(Table1[CustomerID],A939)</f>
        <v>1</v>
      </c>
      <c r="D939" s="12">
        <f>SUMIF(Table1[CustomerID],A939,Table1[TransactionAmount])</f>
        <v>498.97</v>
      </c>
      <c r="E939" t="str">
        <f t="shared" si="73"/>
        <v>313</v>
      </c>
      <c r="F939" t="str">
        <f t="shared" si="74"/>
        <v>Potential Loyalists</v>
      </c>
      <c r="J939">
        <f t="shared" si="75"/>
        <v>3</v>
      </c>
      <c r="K939">
        <f t="shared" si="76"/>
        <v>1</v>
      </c>
      <c r="L939">
        <f t="shared" si="77"/>
        <v>3</v>
      </c>
    </row>
    <row r="940" spans="1:12" x14ac:dyDescent="0.35">
      <c r="A940">
        <v>9907</v>
      </c>
      <c r="B940" s="3">
        <f>H$6-_xlfn.MAXIFS(Table1[PurchaseDate],Table1[CustomerID],A940)</f>
        <v>10</v>
      </c>
      <c r="C940">
        <f>COUNTIF(Table1[CustomerID],A940)</f>
        <v>1</v>
      </c>
      <c r="D940" s="12">
        <f>SUMIF(Table1[CustomerID],A940,Table1[TransactionAmount])</f>
        <v>29.33</v>
      </c>
      <c r="E940" t="str">
        <f t="shared" si="73"/>
        <v>511</v>
      </c>
      <c r="F940" t="str">
        <f t="shared" si="74"/>
        <v>Needs Attention</v>
      </c>
      <c r="J940">
        <f t="shared" si="75"/>
        <v>5</v>
      </c>
      <c r="K940">
        <f t="shared" si="76"/>
        <v>1</v>
      </c>
      <c r="L940">
        <f t="shared" si="77"/>
        <v>1</v>
      </c>
    </row>
    <row r="941" spans="1:12" x14ac:dyDescent="0.35">
      <c r="A941">
        <v>9908</v>
      </c>
      <c r="B941" s="3">
        <f>H$6-_xlfn.MAXIFS(Table1[PurchaseDate],Table1[CustomerID],A941)</f>
        <v>34</v>
      </c>
      <c r="C941">
        <f>COUNTIF(Table1[CustomerID],A941)</f>
        <v>1</v>
      </c>
      <c r="D941" s="12">
        <f>SUMIF(Table1[CustomerID],A941,Table1[TransactionAmount])</f>
        <v>265.23</v>
      </c>
      <c r="E941" t="str">
        <f t="shared" si="73"/>
        <v>312</v>
      </c>
      <c r="F941" t="str">
        <f t="shared" si="74"/>
        <v>Needs Attention</v>
      </c>
      <c r="J941">
        <f t="shared" si="75"/>
        <v>3</v>
      </c>
      <c r="K941">
        <f t="shared" si="76"/>
        <v>1</v>
      </c>
      <c r="L941">
        <f t="shared" si="77"/>
        <v>2</v>
      </c>
    </row>
    <row r="942" spans="1:12" x14ac:dyDescent="0.35">
      <c r="A942">
        <v>9918</v>
      </c>
      <c r="B942" s="3">
        <f>H$6-_xlfn.MAXIFS(Table1[PurchaseDate],Table1[CustomerID],A942)</f>
        <v>24</v>
      </c>
      <c r="C942">
        <f>COUNTIF(Table1[CustomerID],A942)</f>
        <v>1</v>
      </c>
      <c r="D942" s="12">
        <f>SUMIF(Table1[CustomerID],A942,Table1[TransactionAmount])</f>
        <v>182.11</v>
      </c>
      <c r="E942" t="str">
        <f t="shared" si="73"/>
        <v>411</v>
      </c>
      <c r="F942" t="str">
        <f t="shared" si="74"/>
        <v>Needs Attention</v>
      </c>
      <c r="J942">
        <f t="shared" si="75"/>
        <v>4</v>
      </c>
      <c r="K942">
        <f t="shared" si="76"/>
        <v>1</v>
      </c>
      <c r="L942">
        <f t="shared" si="77"/>
        <v>1</v>
      </c>
    </row>
    <row r="943" spans="1:12" x14ac:dyDescent="0.35">
      <c r="A943">
        <v>9922</v>
      </c>
      <c r="B943" s="3">
        <f>H$6-_xlfn.MAXIFS(Table1[PurchaseDate],Table1[CustomerID],A943)</f>
        <v>46</v>
      </c>
      <c r="C943">
        <f>COUNTIF(Table1[CustomerID],A943)</f>
        <v>1</v>
      </c>
      <c r="D943" s="12">
        <f>SUMIF(Table1[CustomerID],A943,Table1[TransactionAmount])</f>
        <v>651.16</v>
      </c>
      <c r="E943" t="str">
        <f t="shared" si="73"/>
        <v>214</v>
      </c>
      <c r="F943" t="str">
        <f t="shared" si="74"/>
        <v>Needs Attention</v>
      </c>
      <c r="J943">
        <f t="shared" si="75"/>
        <v>2</v>
      </c>
      <c r="K943">
        <f t="shared" si="76"/>
        <v>1</v>
      </c>
      <c r="L943">
        <f t="shared" si="77"/>
        <v>4</v>
      </c>
    </row>
    <row r="944" spans="1:12" x14ac:dyDescent="0.35">
      <c r="A944">
        <v>9941</v>
      </c>
      <c r="B944" s="3">
        <f>H$6-_xlfn.MAXIFS(Table1[PurchaseDate],Table1[CustomerID],A944)</f>
        <v>42</v>
      </c>
      <c r="C944">
        <f>COUNTIF(Table1[CustomerID],A944)</f>
        <v>1</v>
      </c>
      <c r="D944" s="12">
        <f>SUMIF(Table1[CustomerID],A944,Table1[TransactionAmount])</f>
        <v>960.53</v>
      </c>
      <c r="E944" t="str">
        <f t="shared" si="73"/>
        <v>215</v>
      </c>
      <c r="F944" t="str">
        <f t="shared" si="74"/>
        <v>Needs Attention</v>
      </c>
      <c r="J944">
        <f t="shared" si="75"/>
        <v>2</v>
      </c>
      <c r="K944">
        <f t="shared" si="76"/>
        <v>1</v>
      </c>
      <c r="L944">
        <f t="shared" si="77"/>
        <v>5</v>
      </c>
    </row>
    <row r="945" spans="1:12" x14ac:dyDescent="0.35">
      <c r="A945">
        <v>9950</v>
      </c>
      <c r="B945" s="3">
        <f>H$6-_xlfn.MAXIFS(Table1[PurchaseDate],Table1[CustomerID],A945)</f>
        <v>38</v>
      </c>
      <c r="C945">
        <f>COUNTIF(Table1[CustomerID],A945)</f>
        <v>1</v>
      </c>
      <c r="D945" s="12">
        <f>SUMIF(Table1[CustomerID],A945,Table1[TransactionAmount])</f>
        <v>679.11</v>
      </c>
      <c r="E945" t="str">
        <f t="shared" si="73"/>
        <v>214</v>
      </c>
      <c r="F945" t="str">
        <f t="shared" si="74"/>
        <v>Needs Attention</v>
      </c>
      <c r="J945">
        <f t="shared" si="75"/>
        <v>2</v>
      </c>
      <c r="K945">
        <f t="shared" si="76"/>
        <v>1</v>
      </c>
      <c r="L945">
        <f t="shared" si="77"/>
        <v>4</v>
      </c>
    </row>
    <row r="946" spans="1:12" x14ac:dyDescent="0.35">
      <c r="A946">
        <v>9954</v>
      </c>
      <c r="B946" s="3">
        <f>H$6-_xlfn.MAXIFS(Table1[PurchaseDate],Table1[CustomerID],A946)</f>
        <v>12</v>
      </c>
      <c r="C946">
        <f>COUNTIF(Table1[CustomerID],A946)</f>
        <v>1</v>
      </c>
      <c r="D946" s="12">
        <f>SUMIF(Table1[CustomerID],A946,Table1[TransactionAmount])</f>
        <v>798.01</v>
      </c>
      <c r="E946" t="str">
        <f t="shared" si="73"/>
        <v>514</v>
      </c>
      <c r="F946" t="str">
        <f t="shared" si="74"/>
        <v>Potential Loyalists</v>
      </c>
      <c r="J946">
        <f t="shared" si="75"/>
        <v>5</v>
      </c>
      <c r="K946">
        <f t="shared" si="76"/>
        <v>1</v>
      </c>
      <c r="L946">
        <f t="shared" si="77"/>
        <v>4</v>
      </c>
    </row>
    <row r="947" spans="1:12" x14ac:dyDescent="0.35">
      <c r="A947">
        <v>9985</v>
      </c>
      <c r="B947" s="3">
        <f>H$6-_xlfn.MAXIFS(Table1[PurchaseDate],Table1[CustomerID],A947)</f>
        <v>57</v>
      </c>
      <c r="C947">
        <f>COUNTIF(Table1[CustomerID],A947)</f>
        <v>1</v>
      </c>
      <c r="D947" s="12">
        <f>SUMIF(Table1[CustomerID],A947,Table1[TransactionAmount])</f>
        <v>36.1</v>
      </c>
      <c r="E947" t="str">
        <f t="shared" si="73"/>
        <v>111</v>
      </c>
      <c r="F947" t="str">
        <f t="shared" si="74"/>
        <v>At Risk</v>
      </c>
      <c r="J947">
        <f t="shared" si="75"/>
        <v>1</v>
      </c>
      <c r="K947">
        <f t="shared" si="76"/>
        <v>1</v>
      </c>
      <c r="L947">
        <f t="shared" si="77"/>
        <v>1</v>
      </c>
    </row>
    <row r="948" spans="1:12" x14ac:dyDescent="0.35">
      <c r="A948">
        <v>9991</v>
      </c>
      <c r="B948" s="3">
        <f>H$6-_xlfn.MAXIFS(Table1[PurchaseDate],Table1[CustomerID],A948)</f>
        <v>30</v>
      </c>
      <c r="C948">
        <f>COUNTIF(Table1[CustomerID],A948)</f>
        <v>1</v>
      </c>
      <c r="D948" s="12">
        <f>SUMIF(Table1[CustomerID],A948,Table1[TransactionAmount])</f>
        <v>626.80999999999995</v>
      </c>
      <c r="E948" t="str">
        <f t="shared" si="73"/>
        <v>313</v>
      </c>
      <c r="F948" t="str">
        <f t="shared" si="74"/>
        <v>Potential Loyalists</v>
      </c>
      <c r="J948">
        <f t="shared" si="75"/>
        <v>3</v>
      </c>
      <c r="K948">
        <f t="shared" si="76"/>
        <v>1</v>
      </c>
      <c r="L948">
        <f t="shared" si="77"/>
        <v>3</v>
      </c>
    </row>
  </sheetData>
  <mergeCells count="1">
    <mergeCell ref="A1:F1"/>
  </mergeCells>
  <conditionalFormatting sqref="F3:F948">
    <cfRule type="containsText" dxfId="0" priority="9" operator="containsText" text="Champions">
      <formula>NOT(ISERROR(SEARCH("Champions",F3)))</formula>
    </cfRule>
    <cfRule type="containsText" dxfId="1" priority="8" operator="containsText" text="Loyal Customers">
      <formula>NOT(ISERROR(SEARCH("Loyal Customers",F3)))</formula>
    </cfRule>
    <cfRule type="containsText" dxfId="2" priority="7" operator="containsText" text="Loyal Customers">
      <formula>NOT(ISERROR(SEARCH("Loyal Customers",F3)))</formula>
    </cfRule>
    <cfRule type="containsText" dxfId="3" priority="6" operator="containsText" text="Potential Loyalists">
      <formula>NOT(ISERROR(SEARCH("Potential Loyalists",F3)))</formula>
    </cfRule>
    <cfRule type="containsText" dxfId="4" priority="5" operator="containsText" text="At Risk">
      <formula>NOT(ISERROR(SEARCH("At Risk",F3)))</formula>
    </cfRule>
    <cfRule type="containsText" dxfId="5" priority="4" operator="containsText" text="Need Potential">
      <formula>NOT(ISERROR(SEARCH("Need Potential",F3)))</formula>
    </cfRule>
    <cfRule type="containsText" dxfId="6" priority="3" operator="containsText" text="Need Attention">
      <formula>NOT(ISERROR(SEARCH("Need Attention",F3)))</formula>
    </cfRule>
    <cfRule type="containsText" dxfId="7" priority="1" operator="containsText" text="Needs Attention">
      <formula>NOT(ISERROR(SEARCH("Needs Attention",F3)))</formula>
    </cfRule>
  </conditionalFormatting>
  <conditionalFormatting sqref="F943">
    <cfRule type="containsText" dxfId="16" priority="2" operator="containsText" text="Need Attention">
      <formula>NOT(ISERROR(SEARCH("Need Attention",F943)))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rfm_data</vt:lpstr>
      <vt:lpstr>RFM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NANDINI .</cp:lastModifiedBy>
  <dcterms:created xsi:type="dcterms:W3CDTF">2026-09-22T15:25:02Z</dcterms:created>
  <dcterms:modified xsi:type="dcterms:W3CDTF">2026-09-24T16:26:27Z</dcterms:modified>
</cp:coreProperties>
</file>